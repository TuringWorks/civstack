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b06f026a0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4e5d376e8c444a"/>
    <x:sheet xmlns:r="http://schemas.openxmlformats.org/officeDocument/2006/relationships" name="Mass Budget" sheetId="2" r:id="R091e84fe22af43bf"/>
    <x:sheet xmlns:r="http://schemas.openxmlformats.org/officeDocument/2006/relationships" name="Joint Loads" sheetId="3" r:id="R7cc715507e614f6f"/>
    <x:sheet xmlns:r="http://schemas.openxmlformats.org/officeDocument/2006/relationships" name="Power Budget" sheetId="4" r:id="Rc404d8c0159749c3"/>
    <x:sheet xmlns:r="http://schemas.openxmlformats.org/officeDocument/2006/relationships" name="Cost Budget" sheetId="5" r:id="R8b56c7ee785e432a"/>
    <x:sheet xmlns:r="http://schemas.openxmlformats.org/officeDocument/2006/relationships" name="Hazards" sheetId="6" r:id="Rea37d48252ed4bef"/>
    <x:sheet xmlns:r="http://schemas.openxmlformats.org/officeDocument/2006/relationships" name="Verification" sheetId="7" r:id="Rbb4857f1dd7440ca"/>
    <x:sheet xmlns:r="http://schemas.openxmlformats.org/officeDocument/2006/relationships" name="Hardware Gates" sheetId="8" r:id="R11e8e431bc39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34A"/>
      <x:name val="Carlito"/>
    </x:font>
    <x:font>
      <x:b/>
      <x:sz val="11"/>
      <x:color rgb="FF17334A"/>
      <x:name val="Carlito"/>
    </x:font>
    <x:font>
      <x:b/>
      <x:sz val="18"/>
      <x:color rgb="FFB54035"/>
      <x:name val="Carlito"/>
    </x:font>
    <x:font>
      <x:b/>
      <x:sz val="18"/>
      <x:color rgb="FF5B6B75"/>
      <x:name val="Carlito"/>
    </x:font>
    <x:font>
      <x:sz val="11"/>
      <x:color rgb="FF5B6B7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34A"/>
      </x:patternFill>
    </x:fill>
    <x:fill>
      <x:patternFill patternType="solid">
        <x:fgColor rgb="FFDDE7ED"/>
      </x:patternFill>
    </x:fill>
    <x:fill>
      <x:patternFill patternType="solid">
        <x:fgColor rgb="FFF6F0E5"/>
      </x:patternFill>
    </x:fill>
    <x:fill>
      <x:patternFill patternType="solid">
        <x:fgColor rgb="FF557994"/>
      </x:patternFill>
    </x:fill>
  </x:fills>
  <x:borders count="6">
    <x:border/>
    <x:border>
      <x:left style="medium">
        <x:color rgb="FFC99C60"/>
      </x:left>
      <x:right style="medium">
        <x:color rgb="FFC99C60"/>
      </x:right>
      <x:top style="medium">
        <x:color rgb="FFC99C60"/>
      </x:top>
    </x:border>
    <x:border>
      <x:left style="medium">
        <x:color rgb="FFC99C60"/>
      </x:left>
      <x:right style="medium">
        <x:color rgb="FFC99C60"/>
      </x:right>
    </x:border>
    <x:border>
      <x:left style="medium">
        <x:color rgb="FFC99C60"/>
      </x:left>
      <x:right style="medium">
        <x:color rgb="FFC99C60"/>
      </x:right>
      <x:bottom style="medium">
        <x:color rgb="FFC99C60"/>
      </x:bottom>
    </x:border>
    <x:border>
      <x:left style="thin">
        <x:color rgb="FFD2D8DC"/>
      </x:left>
      <x:right style="thin">
        <x:color rgb="FFD2D8DC"/>
      </x:right>
      <x:top style="thin">
        <x:color rgb="FFD2D8DC"/>
      </x:top>
      <x:bottom style="thin">
        <x:color rgb="FFD2D8DC"/>
      </x:bottom>
    </x:border>
    <x:border>
      <x:left style="thin">
        <x:color rgb="FFD9DEE2"/>
      </x:left>
      <x:right style="thin">
        <x:color rgb="FFD9DEE2"/>
      </x:right>
      <x:top style="thin">
        <x:color rgb="FFD9DEE2"/>
      </x:top>
      <x:bottom style="thin">
        <x:color rgb="FFD9DEE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2" borderId="5" xfId="0" applyNumberFormat="1" applyFont="1" applyFill="1" applyBorder="1"/>
    <x:xf numFmtId="0" fontId="7" fillId="2" borderId="5" xfId="0" applyNumberFormat="1" applyFont="1" applyFill="1" applyBorder="1"/>
  </x:cellXfs>
  <x:cellStyles count="1">
    <x:cellStyle name="Normal" xfId="0"/>
  </x:cellStyles>
  <x:dxfs count="7">
    <x:dxf>
      <x:font>
        <x:b/>
        <x:color rgb="FF3F7D55"/>
      </x:font>
      <x:fill>
        <x:patternFill patternType="solid">
          <x:bgColor rgb="FFD9EAD3"/>
        </x:patternFill>
      </x:fill>
    </x:dxf>
    <x:dxf>
      <x:font>
        <x:b/>
        <x:color rgb="FFC77A28"/>
      </x:font>
      <x:fill>
        <x:patternFill patternType="solid">
          <x:bgColor rgb="FFFCE5CD"/>
        </x:patternFill>
      </x:fill>
    </x:dxf>
    <x:dxf>
      <x:font>
        <x:b/>
        <x:color rgb="FFB54035"/>
      </x:font>
      <x:fill>
        <x:patternFill patternType="solid">
          <x:bgColor rgb="FFF4CCCC"/>
        </x:patternFill>
      </x:fill>
    </x:dxf>
    <x:dxf>
      <x:font>
        <x:b/>
        <x:color rgb="FFB54035"/>
      </x:font>
      <x:fill>
        <x:patternFill patternType="solid">
          <x:bgColor rgb="FFF4CCCC"/>
        </x:patternFill>
      </x:fill>
    </x:dxf>
    <x:dxf>
      <x:font>
        <x:color rgb="FF3F7D55"/>
      </x:font>
      <x:fill>
        <x:patternFill patternType="solid">
          <x:bgColor rgb="FFD9EAD3"/>
        </x:patternFill>
      </x:fill>
    </x:dxf>
    <x:dxf>
      <x:font>
        <x:color rgb="FFB54035"/>
      </x:font>
      <x:fill>
        <x:patternFill patternType="solid">
          <x:bgColor rgb="FFF4CCCC"/>
        </x:patternFill>
      </x:fill>
    </x:dxf>
    <x:dxf>
      <x:font>
        <x:b/>
        <x:color rgb="FFB54035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319c77bfb4cb8" /><Relationship Type="http://schemas.openxmlformats.org/officeDocument/2006/relationships/theme" Target="/xl/theme/theme1.xml" Id="Re636f0b235d0416f" /><Relationship Type="http://schemas.openxmlformats.org/officeDocument/2006/relationships/sharedStrings" Target="/xl/sharedStrings.xml" Id="R57888e24fe604f06" /><Relationship Type="http://schemas.openxmlformats.org/officeDocument/2006/relationships/worksheet" Target="/xl/worksheets/sheet1.xml" Id="R6f4e5d376e8c444a" /><Relationship Type="http://schemas.openxmlformats.org/officeDocument/2006/relationships/worksheet" Target="/xl/worksheets/sheet2.xml" Id="R091e84fe22af43bf" /><Relationship Type="http://schemas.openxmlformats.org/officeDocument/2006/relationships/worksheet" Target="/xl/worksheets/sheet3.xml" Id="R7cc715507e614f6f" /><Relationship Type="http://schemas.openxmlformats.org/officeDocument/2006/relationships/worksheet" Target="/xl/worksheets/sheet4.xml" Id="Rc404d8c0159749c3" /><Relationship Type="http://schemas.openxmlformats.org/officeDocument/2006/relationships/worksheet" Target="/xl/worksheets/sheet5.xml" Id="R8b56c7ee785e432a" /><Relationship Type="http://schemas.openxmlformats.org/officeDocument/2006/relationships/worksheet" Target="/xl/worksheets/sheet6.xml" Id="Rea37d48252ed4bef" /><Relationship Type="http://schemas.openxmlformats.org/officeDocument/2006/relationships/worksheet" Target="/xl/worksheets/sheet7.xml" Id="Rbb4857f1dd7440ca" /><Relationship Type="http://schemas.openxmlformats.org/officeDocument/2006/relationships/worksheet" Target="/xl/worksheets/sheet8.xml" Id="R11e8e431bc3942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f08888eaa5477c" /><Relationship Type="http://schemas.openxmlformats.org/officeDocument/2006/relationships/chart" Target="/xl/drawings/charts/chart2.xml" Id="R22d9cb94b6fb47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Mass concentration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Target kg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'Dashboard'!$B$18:$B$22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Phased cost vs target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USD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'Dashboard'!$J$18:$J$22</c:f>
              <c:strCache>
                <c:ptCount val="0"/>
              </c:strCache>
            </c:strRef>
          </c:cat>
          <c:val>
            <c:numRef>
              <c:f>'Dashboard'!$K$18:$K$22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f08888eaa5477c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9cb94b6fb47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469fdd9b9344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7" hidden="0" customWidth="1"/>
    <x:col min="4" max="4" width="13" hidden="0" customWidth="1"/>
    <x:col min="5" max="5" width="17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0" hidden="0" customWidth="1"/>
  </x:cols>
  <x:sheetData>
    <x:row r="1">
      <x:c r="A1" s="4" t="str">
        <x:v>LAMINA ENGINEERING BASELINE v0.6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7" t="str">
        <x:v>Pre-fabrication status: architecture complete; physical gates remain open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s="13" t="str">
        <x:v>Controlled axes</x:v>
      </x:c>
      <x:c r="B5" t="str"/>
      <x:c r="C5" s="13" t="str">
        <x:v>Mass estimate</x:v>
      </x:c>
      <x:c r="D5" t="str"/>
      <x:c r="E5" s="13" t="str">
        <x:v>Mass review limit</x:v>
      </x:c>
      <x:c r="F5" t="str"/>
      <x:c r="G5" s="13" t="str">
        <x:v>Average power</x:v>
      </x:c>
      <x:c r="H5" t="str"/>
      <x:c r="I5" s="13" t="str">
        <x:v>Peak envelope</x:v>
      </x:c>
      <x:c r="J5" t="str"/>
      <x:c r="K5" s="13" t="str">
        <x:v>Planning cost</x:v>
      </x:c>
      <x:c r="L5" t="str"/>
    </x:row>
    <x:row r="6">
      <x:c r="A6" s="16" t="n">
        <x:v>31</x:v>
      </x:c>
      <x:c r="B6" s="18" t="str">
        <x:v>axes</x:v>
      </x:c>
      <x:c r="C6" s="19" t="n">
        <x:v>34.4</x:v>
      </x:c>
      <x:c r="D6" s="18" t="str">
        <x:v>kg</x:v>
      </x:c>
      <x:c r="E6" s="19" t="n">
        <x:v>35</x:v>
      </x:c>
      <x:c r="F6" s="18" t="str">
        <x:v>kg</x:v>
      </x:c>
      <x:c r="G6" s="19" t="n">
        <x:v>695</x:v>
      </x:c>
      <x:c r="H6" s="18" t="str">
        <x:v>W</x:v>
      </x:c>
      <x:c r="I6" s="19" t="n">
        <x:v>4230</x:v>
      </x:c>
      <x:c r="J6" s="18" t="str">
        <x:v>W</x:v>
      </x:c>
      <x:c r="K6" s="19" t="n">
        <x:v>12600</x:v>
      </x:c>
      <x:c r="L6" s="20" t="str">
        <x:v>USD</x:v>
      </x:c>
    </x:row>
    <x:row r="7">
      <x:c r="A7" s="15"/>
      <x:c r="B7"/>
      <x:c r="C7" s="15"/>
      <x:c r="D7"/>
      <x:c r="E7" s="15"/>
      <x:c r="F7"/>
      <x:c r="G7" s="15"/>
      <x:c r="H7"/>
      <x:c r="I7" s="15"/>
      <x:c r="J7"/>
      <x:c r="K7" s="15"/>
      <x:c r="L7"/>
    </x:row>
    <x:row r="9">
      <x:c r="A9" s="22" t="str">
        <x:v>Readiness KPI</x:v>
      </x:c>
      <x:c r="B9" s="22" t="str">
        <x:v>Value</x:v>
      </x:c>
      <x:c r="C9" s="22" t="str">
        <x:v>Target</x:v>
      </x:c>
      <x:c r="D9" s="22" t="str">
        <x:v>Status</x:v>
      </x:c>
      <x:c r="F9" s="22" t="str">
        <x:v>Build phase</x:v>
      </x:c>
      <x:c r="G9" s="22" t="str">
        <x:v>Purpose</x:v>
      </x:c>
      <x:c r="H9" s="22" t="str">
        <x:v>Cumulative spend</x:v>
      </x:c>
      <x:c r="I9" s="22" t="str">
        <x:v>Gate</x:v>
      </x:c>
    </x:row>
    <x:row r="10">
      <x:c r="A10" s="23" t="str">
        <x:v>Mass</x:v>
      </x:c>
      <x:c r="B10" s="23" t="n">
        <x:v>34.4</x:v>
      </x:c>
      <x:c r="C10" s="23" t="n">
        <x:v>32</x:v>
      </x:c>
      <x:c r="D10" s="23" t="str">
        <x:v>REDUCE</x:v>
      </x:c>
      <x:c r="F10" s="23" t="str">
        <x:v>A</x:v>
      </x:c>
      <x:c r="G10" s="23" t="str">
        <x:v>Transmission truth</x:v>
      </x:c>
      <x:c r="H10" s="24" t="n">
        <x:v>1500</x:v>
      </x:c>
      <x:c r="I10" s="23" t="str">
        <x:v>G1–G4</x:v>
      </x:c>
    </x:row>
    <x:row r="11">
      <x:c r="A11" s="23" t="str">
        <x:v>Planning cost</x:v>
      </x:c>
      <x:c r="B11" s="23" t="n">
        <x:v>12600</x:v>
      </x:c>
      <x:c r="C11" s="23" t="n">
        <x:v>12000</x:v>
      </x:c>
      <x:c r="D11" s="23" t="str">
        <x:v>REDUCE</x:v>
      </x:c>
      <x:c r="F11" s="23" t="str">
        <x:v>B</x:v>
      </x:c>
      <x:c r="G11" s="23" t="str">
        <x:v>Load-bearing truth</x:v>
      </x:c>
      <x:c r="H11" s="24" t="n">
        <x:v>5000</x:v>
      </x:c>
      <x:c r="I11" s="23" t="str">
        <x:v>G5–G7</x:v>
      </x:c>
    </x:row>
    <x:row r="12">
      <x:c r="A12" s="23" t="str">
        <x:v>URDF joint count</x:v>
      </x:c>
      <x:c r="B12" s="23" t="n">
        <x:v>31</x:v>
      </x:c>
      <x:c r="C12" s="23" t="n">
        <x:v>31</x:v>
      </x:c>
      <x:c r="D12" s="23" t="str">
        <x:v>PASS</x:v>
      </x:c>
      <x:c r="F12" s="23" t="str">
        <x:v>C</x:v>
      </x:c>
      <x:c r="G12" s="23" t="str">
        <x:v>Suspended lower body</x:v>
      </x:c>
      <x:c r="H12" s="24" t="n">
        <x:v>9000</x:v>
      </x:c>
      <x:c r="I12" s="23" t="str">
        <x:v>G8–G10</x:v>
      </x:c>
    </x:row>
    <x:row r="13">
      <x:c r="A13" s="23" t="str">
        <x:v>Open hardware gates</x:v>
      </x:c>
      <x:c r="B13" s="23" t="n">
        <x:v>11</x:v>
      </x:c>
      <x:c r="C13" s="23" t="n">
        <x:v>0</x:v>
      </x:c>
      <x:c r="D13" s="23" t="str">
        <x:v>BLOCKED</x:v>
      </x:c>
      <x:c r="F13" s="23" t="str">
        <x:v>D</x:v>
      </x:c>
      <x:c r="G13" s="23" t="str">
        <x:v>Full upper body</x:v>
      </x:c>
      <x:c r="H13" s="24" t="n">
        <x:v>12600</x:v>
      </x:c>
      <x:c r="I13" s="23" t="str">
        <x:v>Integration</x:v>
      </x:c>
    </x:row>
    <x:row r="14">
      <x:c r="A14" s="23" t="str">
        <x:v>Residual high risks (≥8)</x:v>
      </x:c>
      <x:c r="B14" s="23" t="n">
        <x:v>1</x:v>
      </x:c>
      <x:c r="C14" s="23" t="n">
        <x:v>0</x:v>
      </x:c>
      <x:c r="D14" s="23" t="str">
        <x:v>MITIGATE</x:v>
      </x:c>
      <x:c r="F14" s="23" t="str">
        <x:v>E</x:v>
      </x:c>
      <x:c r="G14" s="23" t="str">
        <x:v>Ladder decision</x:v>
      </x:c>
      <x:c r="H14" s="24" t="n">
        <x:v>12600</x:v>
      </x:c>
      <x:c r="I14" s="23" t="str">
        <x:v>G11</x:v>
      </x:c>
    </x:row>
    <x:row r="17">
      <x:c r="A17" t="str">
        <x:v>Subsystem</x:v>
      </x:c>
      <x:c r="B17" t="str">
        <x:v>Target kg</x:v>
      </x:c>
      <x:c r="J17" t="str">
        <x:v>Build phase</x:v>
      </x:c>
      <x:c r="K17" t="str">
        <x:v>USD</x:v>
      </x:c>
    </x:row>
    <x:row r="18">
      <x:c r="A18" t="str">
        <x:v>Structures</x:v>
      </x:c>
      <x:c r="B18" t="n">
        <x:v>13.7</x:v>
      </x:c>
      <x:c r="J18" t="str">
        <x:v>A</x:v>
      </x:c>
      <x:c r="K18" t="n">
        <x:v>1500</x:v>
      </x:c>
    </x:row>
    <x:row r="19">
      <x:c r="A19" t="str">
        <x:v>Actuation</x:v>
      </x:c>
      <x:c r="B19" t="n">
        <x:v>9</x:v>
      </x:c>
      <x:c r="J19" t="str">
        <x:v>B</x:v>
      </x:c>
      <x:c r="K19" t="n">
        <x:v>5000</x:v>
      </x:c>
    </x:row>
    <x:row r="20">
      <x:c r="A20" t="str">
        <x:v>Battery</x:v>
      </x:c>
      <x:c r="B20" t="n">
        <x:v>4</x:v>
      </x:c>
      <x:c r="J20" t="str">
        <x:v>C</x:v>
      </x:c>
      <x:c r="K20" t="n">
        <x:v>9000</x:v>
      </x:c>
    </x:row>
    <x:row r="21">
      <x:c r="A21" t="str">
        <x:v>Electronics</x:v>
      </x:c>
      <x:c r="B21" t="n">
        <x:v>1.5</x:v>
      </x:c>
      <x:c r="J21" t="str">
        <x:v>D</x:v>
      </x:c>
      <x:c r="K21" t="n">
        <x:v>12600</x:v>
      </x:c>
    </x:row>
    <x:row r="22">
      <x:c r="A22" t="str">
        <x:v>Hardware/guards</x:v>
      </x:c>
      <x:c r="B22" t="n">
        <x:v>3</x:v>
      </x:c>
      <x:c r="J22" t="str">
        <x:v>Target</x:v>
      </x:c>
      <x:c r="K22" t="n">
        <x:v>12000</x:v>
      </x:c>
    </x:row>
  </x:sheetData>
  <x:mergeCells>
    <x:mergeCell ref="A1:L2"/>
    <x:mergeCell ref="A3:L3"/>
  </x:mergeCells>
  <x:conditionalFormatting sqref="D10:D14">
    <x:cfRule type="containsText" dxfId="0" priority="1" operator="containsText" text="PASS"/>
    <x:cfRule type="containsText" dxfId="1" priority="2" operator="containsText" text="REDUCE"/>
    <x:cfRule type="containsText" dxfId="2" priority="3" operator="containsText" text="BLOCKED"/>
    <x:cfRule type="containsText" dxfId="3" priority="4" operator="containsText" text="MITIGATE"/>
  </x:conditionalFormatting>
  <x:pageMargins left="0.7" right="0.7" top="0.75" bottom="0.75" header="0.3" footer="0.3"/>
  <x:drawing xmlns:r="http://schemas.openxmlformats.org/officeDocument/2006/relationships" r:id="R1f469fdd9b93448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7" t="str">
        <x:v>subsystem</x:v>
      </x:c>
      <x:c r="B1" s="27" t="str">
        <x:v>target_mass_kg</x:v>
      </x:c>
      <x:c r="C1" s="27" t="str">
        <x:v>review_limit_kg</x:v>
      </x:c>
      <x:c r="D1" s="27" t="str">
        <x:v>notes</x:v>
      </x:c>
    </x:row>
    <x:row r="2">
      <x:c r="A2" s="29" t="str">
        <x:v>head_and_neck</x:v>
      </x:c>
      <x:c r="B2" s="29" t="str">
        <x:v>1.2</x:v>
      </x:c>
      <x:c r="C2" s="29" t="str">
        <x:v>1.5</x:v>
      </x:c>
      <x:c r="D2" s="29" t="str">
        <x:v>Layered head shell cameras and two S joints</x:v>
      </x:c>
    </x:row>
    <x:row r="3">
      <x:c r="A3" s="29" t="str">
        <x:v>torso_wood_structure</x:v>
      </x:c>
      <x:c r="B3" s="29" t="str">
        <x:v>2.5</x:v>
      </x:c>
      <x:c r="C3" s="29" t="str">
        <x:v>3.0</x:v>
      </x:c>
      <x:c r="D3" s="29" t="str">
        <x:v>Open truss spine ribs covers and safety mount</x:v>
      </x:c>
    </x:row>
    <x:row r="4">
      <x:c r="A4" s="29" t="str">
        <x:v>pelvis_wood_structure</x:v>
      </x:c>
      <x:c r="B4" s="29" t="str">
        <x:v>2.0</x:v>
      </x:c>
      <x:c r="C4" s="29" t="str">
        <x:v>2.5</x:v>
      </x:c>
      <x:c r="D4" s="29" t="str">
        <x:v>Motor cage and battery support</x:v>
      </x:c>
    </x:row>
    <x:row r="5">
      <x:c r="A5" s="29" t="str">
        <x:v>left_arm_structure</x:v>
      </x:c>
      <x:c r="B5" s="29" t="str">
        <x:v>1.8</x:v>
      </x:c>
      <x:c r="C5" s="29" t="str">
        <x:v>2.2</x:v>
      </x:c>
      <x:c r="D5" s="29" t="str">
        <x:v>Excludes actuator bank</x:v>
      </x:c>
    </x:row>
    <x:row r="6">
      <x:c r="A6" s="29" t="str">
        <x:v>right_arm_structure</x:v>
      </x:c>
      <x:c r="B6" s="29" t="str">
        <x:v>1.8</x:v>
      </x:c>
      <x:c r="C6" s="29" t="str">
        <x:v>2.2</x:v>
      </x:c>
      <x:c r="D6" s="29" t="str">
        <x:v>Excludes actuator bank</x:v>
      </x:c>
    </x:row>
    <x:row r="7">
      <x:c r="A7" s="29" t="str">
        <x:v>hands_and_grippers</x:v>
      </x:c>
      <x:c r="B7" s="29" t="str">
        <x:v>0.8</x:v>
      </x:c>
      <x:c r="C7" s="29" t="str">
        <x:v>1.0</x:v>
      </x:c>
      <x:c r="D7" s="29" t="str">
        <x:v>Both adaptive hands</x:v>
      </x:c>
    </x:row>
    <x:row r="8">
      <x:c r="A8" s="29" t="str">
        <x:v>left_leg_structure_and_foot</x:v>
      </x:c>
      <x:c r="B8" s="29" t="str">
        <x:v>3.4</x:v>
      </x:c>
      <x:c r="C8" s="29" t="str">
        <x:v>4.0</x:v>
      </x:c>
      <x:c r="D8" s="29" t="str">
        <x:v>Excludes actuator bank</x:v>
      </x:c>
    </x:row>
    <x:row r="9">
      <x:c r="A9" s="29" t="str">
        <x:v>right_leg_structure_and_foot</x:v>
      </x:c>
      <x:c r="B9" s="29" t="str">
        <x:v>3.4</x:v>
      </x:c>
      <x:c r="C9" s="29" t="str">
        <x:v>4.0</x:v>
      </x:c>
      <x:c r="D9" s="29" t="str">
        <x:v>Excludes actuator bank</x:v>
      </x:c>
    </x:row>
    <x:row r="10">
      <x:c r="A10" s="29" t="str">
        <x:v>actuators_reductions_and_tendons</x:v>
      </x:c>
      <x:c r="B10" s="29" t="str">
        <x:v>9.0</x:v>
      </x:c>
      <x:c r="C10" s="29" t="str">
        <x:v>10.5</x:v>
      </x:c>
      <x:c r="D10" s="29" t="str">
        <x:v>All 31 axes; dominant uncertainty</x:v>
      </x:c>
    </x:row>
    <x:row r="11">
      <x:c r="A11" s="29" t="str">
        <x:v>battery_and_bms</x:v>
      </x:c>
      <x:c r="B11" s="29" t="str">
        <x:v>4.0</x:v>
      </x:c>
      <x:c r="C11" s="29" t="str">
        <x:v>5.0</x:v>
      </x:c>
      <x:c r="D11" s="29" t="str">
        <x:v>48 V 15 Ah class planning envelope</x:v>
      </x:c>
    </x:row>
    <x:row r="12">
      <x:c r="A12" s="29" t="str">
        <x:v>electronics_sensors_and_wiring</x:v>
      </x:c>
      <x:c r="B12" s="29" t="str">
        <x:v>1.5</x:v>
      </x:c>
      <x:c r="C12" s="29" t="str">
        <x:v>2.0</x:v>
      </x:c>
      <x:c r="D12" s="29" t="str">
        <x:v>Controllers buses cameras IMUs and harness</x:v>
      </x:c>
    </x:row>
    <x:row r="13">
      <x:c r="A13" s="29" t="str">
        <x:v>standard_hardware_guards_and_padding</x:v>
      </x:c>
      <x:c r="B13" s="29" t="str">
        <x:v>3.0</x:v>
      </x:c>
      <x:c r="C13" s="29" t="str">
        <x:v>3.8</x:v>
      </x:c>
      <x:c r="D13" s="29" t="str">
        <x:v>Shafts bearings bolts rubber and local guards</x:v>
      </x:c>
    </x:row>
    <x:row r="14">
      <x:c r="A14" s="29" t="str">
        <x:v>total</x:v>
      </x:c>
      <x:c r="B14" s="29" t="str">
        <x:v>34.4</x:v>
      </x:c>
      <x:c r="C14" s="29" t="str">
        <x:v>40.7</x:v>
      </x:c>
      <x:c r="D14" s="29" t="str">
        <x:v>Target exceeds preferred 32 kg and triggers a mass-reduction workstream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7" t="str">
        <x:v>joint_or_group</x:v>
      </x:c>
      <x:c r="B1" s="27" t="str">
        <x:v>quantity</x:v>
      </x:c>
      <x:c r="C1" s="27" t="str">
        <x:v>class</x:v>
      </x:c>
      <x:c r="D1" s="27" t="str">
        <x:v>estimated_static_torque_nm</x:v>
      </x:c>
      <x:c r="E1" s="27" t="str">
        <x:v>design_peak_torque_nm</x:v>
      </x:c>
      <x:c r="F1" s="27" t="str">
        <x:v>primary_load_case</x:v>
      </x:c>
      <x:c r="G1" s="27" t="str">
        <x:v>confidence</x:v>
      </x:c>
    </x:row>
    <x:row r="2">
      <x:c r="A2" s="29" t="str">
        <x:v>neck_yaw_pitch</x:v>
      </x:c>
      <x:c r="B2" s="29" t="str">
        <x:v>2</x:v>
      </x:c>
      <x:c r="C2" s="29" t="str">
        <x:v>S</x:v>
      </x:c>
      <x:c r="D2" s="29" t="str">
        <x:v>2</x:v>
      </x:c>
      <x:c r="E2" s="29" t="str">
        <x:v>8</x:v>
      </x:c>
      <x:c r="F2" s="29" t="str">
        <x:v>Head orientation</x:v>
      </x:c>
      <x:c r="G2" s="29" t="str">
        <x:v>medium</x:v>
      </x:c>
    </x:row>
    <x:row r="3">
      <x:c r="A3" s="29" t="str">
        <x:v>wrist_yaw_pitch</x:v>
      </x:c>
      <x:c r="B3" s="29" t="str">
        <x:v>4</x:v>
      </x:c>
      <x:c r="C3" s="29" t="str">
        <x:v>S</x:v>
      </x:c>
      <x:c r="D3" s="29" t="str">
        <x:v>3</x:v>
      </x:c>
      <x:c r="E3" s="29" t="str">
        <x:v>10</x:v>
      </x:c>
      <x:c r="F3" s="29" t="str">
        <x:v>Tool/object orientation</x:v>
      </x:c>
      <x:c r="G3" s="29" t="str">
        <x:v>low</x:v>
      </x:c>
    </x:row>
    <x:row r="4">
      <x:c r="A4" s="29" t="str">
        <x:v>adaptive_gripper</x:v>
      </x:c>
      <x:c r="B4" s="29" t="str">
        <x:v>2</x:v>
      </x:c>
      <x:c r="C4" s="29" t="str">
        <x:v>S</x:v>
      </x:c>
      <x:c r="D4" s="29" t="str">
        <x:v>4</x:v>
      </x:c>
      <x:c r="E4" s="29" t="str">
        <x:v>12</x:v>
      </x:c>
      <x:c r="F4" s="29" t="str">
        <x:v>300 N tendon grip target</x:v>
      </x:c>
      <x:c r="G4" s="29" t="str">
        <x:v>low</x:v>
      </x:c>
    </x:row>
    <x:row r="5">
      <x:c r="A5" s="29" t="str">
        <x:v>elbow_pitch</x:v>
      </x:c>
      <x:c r="B5" s="29" t="str">
        <x:v>2</x:v>
      </x:c>
      <x:c r="C5" s="29" t="str">
        <x:v>M</x:v>
      </x:c>
      <x:c r="D5" s="29" t="str">
        <x:v>14</x:v>
      </x:c>
      <x:c r="E5" s="29" t="str">
        <x:v>35</x:v>
      </x:c>
      <x:c r="F5" s="29" t="str">
        <x:v>2.5 kg per arm at reach</x:v>
      </x:c>
      <x:c r="G5" s="29" t="str">
        <x:v>medium</x:v>
      </x:c>
    </x:row>
    <x:row r="6">
      <x:c r="A6" s="29" t="str">
        <x:v>shoulder_yaw_roll</x:v>
      </x:c>
      <x:c r="B6" s="29" t="str">
        <x:v>4</x:v>
      </x:c>
      <x:c r="C6" s="29" t="str">
        <x:v>M</x:v>
      </x:c>
      <x:c r="D6" s="29" t="str">
        <x:v>15</x:v>
      </x:c>
      <x:c r="E6" s="29" t="str">
        <x:v>40</x:v>
      </x:c>
      <x:c r="F6" s="29" t="str">
        <x:v>Arm and payload redirection</x:v>
      </x:c>
      <x:c r="G6" s="29" t="str">
        <x:v>low</x:v>
      </x:c>
    </x:row>
    <x:row r="7">
      <x:c r="A7" s="29" t="str">
        <x:v>shoulder_pitch</x:v>
      </x:c>
      <x:c r="B7" s="29" t="str">
        <x:v>2</x:v>
      </x:c>
      <x:c r="C7" s="29" t="str">
        <x:v>H</x:v>
      </x:c>
      <x:c r="D7" s="29" t="str">
        <x:v>22</x:v>
      </x:c>
      <x:c r="E7" s="29" t="str">
        <x:v>65</x:v>
      </x:c>
      <x:c r="F7" s="29" t="str">
        <x:v>Two-hand 5 kg carry plus arm mass</x:v>
      </x:c>
      <x:c r="G7" s="29" t="str">
        <x:v>low</x:v>
      </x:c>
    </x:row>
    <x:row r="8">
      <x:c r="A8" s="29" t="str">
        <x:v>waist_yaw_roll</x:v>
      </x:c>
      <x:c r="B8" s="29" t="str">
        <x:v>2</x:v>
      </x:c>
      <x:c r="C8" s="29" t="str">
        <x:v>M</x:v>
      </x:c>
      <x:c r="D8" s="29" t="str">
        <x:v>20</x:v>
      </x:c>
      <x:c r="E8" s="29" t="str">
        <x:v>50</x:v>
      </x:c>
      <x:c r="F8" s="29" t="str">
        <x:v>Torso disturbance and manipulation</x:v>
      </x:c>
      <x:c r="G8" s="29" t="str">
        <x:v>low</x:v>
      </x:c>
    </x:row>
    <x:row r="9">
      <x:c r="A9" s="29" t="str">
        <x:v>waist_pitch</x:v>
      </x:c>
      <x:c r="B9" s="29" t="str">
        <x:v>1</x:v>
      </x:c>
      <x:c r="C9" s="29" t="str">
        <x:v>H</x:v>
      </x:c>
      <x:c r="D9" s="29" t="str">
        <x:v>45</x:v>
      </x:c>
      <x:c r="E9" s="29" t="str">
        <x:v>120</x:v>
      </x:c>
      <x:c r="F9" s="29" t="str">
        <x:v>Floor pickup and recovery</x:v>
      </x:c>
      <x:c r="G9" s="29" t="str">
        <x:v>low</x:v>
      </x:c>
    </x:row>
    <x:row r="10">
      <x:c r="A10" s="29" t="str">
        <x:v>hip_yaw</x:v>
      </x:c>
      <x:c r="B10" s="29" t="str">
        <x:v>2</x:v>
      </x:c>
      <x:c r="C10" s="29" t="str">
        <x:v>H</x:v>
      </x:c>
      <x:c r="D10" s="29" t="str">
        <x:v>20</x:v>
      </x:c>
      <x:c r="E10" s="29" t="str">
        <x:v>60</x:v>
      </x:c>
      <x:c r="F10" s="29" t="str">
        <x:v>Foot placement and turning</x:v>
      </x:c>
      <x:c r="G10" s="29" t="str">
        <x:v>low</x:v>
      </x:c>
    </x:row>
    <x:row r="11">
      <x:c r="A11" s="29" t="str">
        <x:v>hip_roll</x:v>
      </x:c>
      <x:c r="B11" s="29" t="str">
        <x:v>2</x:v>
      </x:c>
      <x:c r="C11" s="29" t="str">
        <x:v>H</x:v>
      </x:c>
      <x:c r="D11" s="29" t="str">
        <x:v>35</x:v>
      </x:c>
      <x:c r="E11" s="29" t="str">
        <x:v>100</x:v>
      </x:c>
      <x:c r="F11" s="29" t="str">
        <x:v>Single-support balance</x:v>
      </x:c>
      <x:c r="G11" s="29" t="str">
        <x:v>low</x:v>
      </x:c>
    </x:row>
    <x:row r="12">
      <x:c r="A12" s="29" t="str">
        <x:v>hip_pitch</x:v>
      </x:c>
      <x:c r="B12" s="29" t="str">
        <x:v>2</x:v>
      </x:c>
      <x:c r="C12" s="29" t="str">
        <x:v>H</x:v>
      </x:c>
      <x:c r="D12" s="29" t="str">
        <x:v>50</x:v>
      </x:c>
      <x:c r="E12" s="29" t="str">
        <x:v>120</x:v>
      </x:c>
      <x:c r="F12" s="29" t="str">
        <x:v>Squat stairs and gait</x:v>
      </x:c>
      <x:c r="G12" s="29" t="str">
        <x:v>low</x:v>
      </x:c>
    </x:row>
    <x:row r="13">
      <x:c r="A13" s="29" t="str">
        <x:v>knee_pitch</x:v>
      </x:c>
      <x:c r="B13" s="29" t="str">
        <x:v>2</x:v>
      </x:c>
      <x:c r="C13" s="29" t="str">
        <x:v>H</x:v>
      </x:c>
      <x:c r="D13" s="29" t="str">
        <x:v>45</x:v>
      </x:c>
      <x:c r="E13" s="29" t="str">
        <x:v>120</x:v>
      </x:c>
      <x:c r="F13" s="29" t="str">
        <x:v>Squat stairs and gait</x:v>
      </x:c>
      <x:c r="G13" s="29" t="str">
        <x:v>low</x:v>
      </x:c>
    </x:row>
    <x:row r="14">
      <x:c r="A14" s="29" t="str">
        <x:v>ankle_pitch</x:v>
      </x:c>
      <x:c r="B14" s="29" t="str">
        <x:v>2</x:v>
      </x:c>
      <x:c r="C14" s="29" t="str">
        <x:v>H</x:v>
      </x:c>
      <x:c r="D14" s="29" t="str">
        <x:v>35</x:v>
      </x:c>
      <x:c r="E14" s="29" t="str">
        <x:v>100</x:v>
      </x:c>
      <x:c r="F14" s="29" t="str">
        <x:v>Balance push-off and stairs</x:v>
      </x:c>
      <x:c r="G14" s="29" t="str">
        <x:v>low</x:v>
      </x:c>
    </x:row>
    <x:row r="15">
      <x:c r="A15" s="29" t="str">
        <x:v>ankle_roll</x:v>
      </x:c>
      <x:c r="B15" s="29" t="str">
        <x:v>2</x:v>
      </x:c>
      <x:c r="C15" s="29" t="str">
        <x:v>M</x:v>
      </x:c>
      <x:c r="D15" s="29" t="str">
        <x:v>22</x:v>
      </x:c>
      <x:c r="E15" s="29" t="str">
        <x:v>50</x:v>
      </x:c>
      <x:c r="F15" s="29" t="str">
        <x:v>Lateral balance</x:v>
      </x:c>
      <x:c r="G15" s="29" t="str">
        <x:v>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7" t="str">
        <x:v>load_group</x:v>
      </x:c>
      <x:c r="B1" s="27" t="str">
        <x:v>quantity</x:v>
      </x:c>
      <x:c r="C1" s="27" t="str">
        <x:v>average_each_w</x:v>
      </x:c>
      <x:c r="D1" s="27" t="str">
        <x:v>average_total_w</x:v>
      </x:c>
      <x:c r="E1" s="27" t="str">
        <x:v>peak_each_w</x:v>
      </x:c>
      <x:c r="F1" s="27" t="str">
        <x:v>peak_total_w</x:v>
      </x:c>
      <x:c r="G1" s="27" t="str">
        <x:v>notes</x:v>
      </x:c>
    </x:row>
    <x:row r="2">
      <x:c r="A2" s="29" t="str">
        <x:v>H_class_actuators</x:v>
      </x:c>
      <x:c r="B2" s="29" t="str">
        <x:v>13</x:v>
      </x:c>
      <x:c r="C2" s="29" t="str">
        <x:v>25</x:v>
      </x:c>
      <x:c r="D2" s="29" t="str">
        <x:v>325</x:v>
      </x:c>
      <x:c r="E2" s="29" t="str">
        <x:v>200</x:v>
      </x:c>
      <x:c r="F2" s="29" t="str">
        <x:v>2600</x:v>
      </x:c>
      <x:c r="G2" s="29" t="str">
        <x:v>Highly duty-cycle dependent</x:v>
      </x:c>
    </x:row>
    <x:row r="3">
      <x:c r="A3" s="29" t="str">
        <x:v>M_class_actuators</x:v>
      </x:c>
      <x:c r="B3" s="29" t="str">
        <x:v>10</x:v>
      </x:c>
      <x:c r="C3" s="29" t="str">
        <x:v>15</x:v>
      </x:c>
      <x:c r="D3" s="29" t="str">
        <x:v>150</x:v>
      </x:c>
      <x:c r="E3" s="29" t="str">
        <x:v>100</x:v>
      </x:c>
      <x:c r="F3" s="29" t="str">
        <x:v>1000</x:v>
      </x:c>
      <x:c r="G3" s="29" t="str">
        <x:v>Includes elbows and balance axes</x:v>
      </x:c>
    </x:row>
    <x:row r="4">
      <x:c r="A4" s="29" t="str">
        <x:v>S_class_actuators</x:v>
      </x:c>
      <x:c r="B4" s="29" t="str">
        <x:v>8</x:v>
      </x:c>
      <x:c r="C4" s="29" t="str">
        <x:v>5</x:v>
      </x:c>
      <x:c r="D4" s="29" t="str">
        <x:v>40</x:v>
      </x:c>
      <x:c r="E4" s="29" t="str">
        <x:v>40</x:v>
      </x:c>
      <x:c r="F4" s="29" t="str">
        <x:v>320</x:v>
      </x:c>
      <x:c r="G4" s="29" t="str">
        <x:v>Includes grippers</x:v>
      </x:c>
    </x:row>
    <x:row r="5">
      <x:c r="A5" s="29" t="str">
        <x:v>brain_compute</x:v>
      </x:c>
      <x:c r="B5" s="29" t="str">
        <x:v>1</x:v>
      </x:c>
      <x:c r="C5" s="29" t="str">
        <x:v>60</x:v>
      </x:c>
      <x:c r="D5" s="29" t="str">
        <x:v>60</x:v>
      </x:c>
      <x:c r="E5" s="29" t="str">
        <x:v>100</x:v>
      </x:c>
      <x:c r="F5" s="29" t="str">
        <x:v>100</x:v>
      </x:c>
      <x:c r="G5" s="29" t="str">
        <x:v>Local perception and planning</x:v>
      </x:c>
    </x:row>
    <x:row r="6">
      <x:c r="A6" s="29" t="str">
        <x:v>real_time_controllers_and_buses</x:v>
      </x:c>
      <x:c r="B6" s="29" t="str">
        <x:v>1</x:v>
      </x:c>
      <x:c r="C6" s="29" t="str">
        <x:v>15</x:v>
      </x:c>
      <x:c r="D6" s="29" t="str">
        <x:v>15</x:v>
      </x:c>
      <x:c r="E6" s="29" t="str">
        <x:v>25</x:v>
      </x:c>
      <x:c r="F6" s="29" t="str">
        <x:v>25</x:v>
      </x:c>
      <x:c r="G6" s="29" t="str">
        <x:v>Distributed MCU network</x:v>
      </x:c>
    </x:row>
    <x:row r="7">
      <x:c r="A7" s="29" t="str">
        <x:v>sensors_cameras_and_logging</x:v>
      </x:c>
      <x:c r="B7" s="29" t="str">
        <x:v>1</x:v>
      </x:c>
      <x:c r="C7" s="29" t="str">
        <x:v>20</x:v>
      </x:c>
      <x:c r="D7" s="29" t="str">
        <x:v>20</x:v>
      </x:c>
      <x:c r="E7" s="29" t="str">
        <x:v>35</x:v>
      </x:c>
      <x:c r="F7" s="29" t="str">
        <x:v>35</x:v>
      </x:c>
      <x:c r="G7" s="29" t="str">
        <x:v>Cameras IMUs force and storage</x:v>
      </x:c>
    </x:row>
    <x:row r="8">
      <x:c r="A8" s="29" t="str">
        <x:v>conversion_wiring_and_idle_losses</x:v>
      </x:c>
      <x:c r="B8" s="29" t="str">
        <x:v>1</x:v>
      </x:c>
      <x:c r="C8" s="29" t="str">
        <x:v>85</x:v>
      </x:c>
      <x:c r="D8" s="29" t="str">
        <x:v>85</x:v>
      </x:c>
      <x:c r="E8" s="29" t="str">
        <x:v>150</x:v>
      </x:c>
      <x:c r="F8" s="29" t="str">
        <x:v>150</x:v>
      </x:c>
      <x:c r="G8" s="29" t="str">
        <x:v>Planning allowance</x:v>
      </x:c>
    </x:row>
    <x:row r="9">
      <x:c r="A9" s="29" t="str">
        <x:v>total</x:v>
      </x:c>
      <x:c r="B9" s="29" t="str">
        <x:v>1</x:v>
      </x:c>
      <x:c r="C9" s="29" t="str">
        <x:v>695</x:v>
      </x:c>
      <x:c r="D9" s="29" t="str">
        <x:v>695</x:v>
      </x:c>
      <x:c r="E9" s="29" t="str">
        <x:v>4230</x:v>
      </x:c>
      <x:c r="F9" s="29" t="str">
        <x:v>4230</x:v>
      </x:c>
      <x:c r="G9" s="29" t="str">
        <x:v>Peak is non-simultaneous planning envelope</x:v>
      </x:c>
    </x:row>
    <x:row r="10">
      <x:c r="A10" s="29" t="str">
        <x:v>battery_usable_energy_wh</x:v>
      </x:c>
      <x:c r="B10" s="29" t="str">
        <x:v>1</x:v>
      </x:c>
      <x:c r="C10" s="29" t="str">
        <x:v>576</x:v>
      </x:c>
      <x:c r="D10" s="29" t="str">
        <x:v>576</x:v>
      </x:c>
      <x:c r="E10" s="29" t="str">
        <x:v>576</x:v>
      </x:c>
      <x:c r="F10" s="29" t="str">
        <x:v>576</x:v>
      </x:c>
      <x:c r="G10" s="29" t="str">
        <x:v>48 V 15 Ah nominal at 80 percent usable</x:v>
      </x:c>
    </x:row>
    <x:row r="11">
      <x:c r="A11" s="29" t="str">
        <x:v>estimated_runtime_minutes</x:v>
      </x:c>
      <x:c r="B11" s="29" t="str">
        <x:v>1</x:v>
      </x:c>
      <x:c r="C11" s="29" t="str">
        <x:v>49.7</x:v>
      </x:c>
      <x:c r="D11" s="29" t="str">
        <x:v>49.7</x:v>
      </x:c>
      <x:c r="E11" s="29" t="str">
        <x:v>49.7</x:v>
      </x:c>
      <x:c r="F11" s="29" t="str">
        <x:v>49.7</x:v>
      </x:c>
      <x:c r="G11" s="29" t="str">
        <x:v>Usable energy divided by average power; 30 minute requirement retains margin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</x:cols>
  <x:sheetData>
    <x:row r="1">
      <x:c r="A1" s="27" t="str">
        <x:v>category</x:v>
      </x:c>
      <x:c r="B1" s="27" t="str">
        <x:v>planning_cost_usd</x:v>
      </x:c>
      <x:c r="C1" s="27" t="str">
        <x:v>review_ceiling_usd</x:v>
      </x:c>
      <x:c r="D1" s="27" t="str">
        <x:v>stage</x:v>
      </x:c>
      <x:c r="E1" s="27" t="str">
        <x:v>notes</x:v>
      </x:c>
    </x:row>
    <x:row r="2">
      <x:c r="A2" s="29" t="str">
        <x:v>plywood_and_finish</x:v>
      </x:c>
      <x:c r="B2" s="29" t="str">
        <x:v>400</x:v>
      </x:c>
      <x:c r="C2" s="29" t="str">
        <x:v>700</x:v>
      </x:c>
      <x:c r="D2" s="29" t="str">
        <x:v>all</x:v>
      </x:c>
      <x:c r="E2" s="29" t="str">
        <x:v>Includes coupons and replacement stock</x:v>
      </x:c>
    </x:row>
    <x:row r="3">
      <x:c r="A3" s="29" t="str">
        <x:v>standard_shafts_bearings_fasteners</x:v>
      </x:c>
      <x:c r="B3" s="29" t="str">
        <x:v>900</x:v>
      </x:c>
      <x:c r="C3" s="29" t="str">
        <x:v>1400</x:v>
      </x:c>
      <x:c r="D3" s="29" t="str">
        <x:v>all</x:v>
      </x:c>
      <x:c r="E3" s="29" t="str">
        <x:v>No custom machining</x:v>
      </x:c>
    </x:row>
    <x:row r="4">
      <x:c r="A4" s="29" t="str">
        <x:v>actuators_reductions_and_tendons</x:v>
      </x:c>
      <x:c r="B4" s="29" t="str">
        <x:v>6500</x:v>
      </x:c>
      <x:c r="C4" s="29" t="str">
        <x:v>9000</x:v>
      </x:c>
      <x:c r="D4" s="29" t="str">
        <x:v>all</x:v>
      </x:c>
      <x:c r="E4" s="29" t="str">
        <x:v>Largest uncertainty; freeze only after J1/J2</x:v>
      </x:c>
    </x:row>
    <x:row r="5">
      <x:c r="A5" s="29" t="str">
        <x:v>battery_bms_and_power_distribution</x:v>
      </x:c>
      <x:c r="B5" s="29" t="str">
        <x:v>900</x:v>
      </x:c>
      <x:c r="C5" s="29" t="str">
        <x:v>1500</x:v>
      </x:c>
      <x:c r="D5" s="29" t="str">
        <x:v>power</x:v>
      </x:c>
      <x:c r="E5" s="29" t="str">
        <x:v>Certified battery assembly</x:v>
      </x:c>
    </x:row>
    <x:row r="6">
      <x:c r="A6" s="29" t="str">
        <x:v>controllers_compute_and_network</x:v>
      </x:c>
      <x:c r="B6" s="29" t="str">
        <x:v>900</x:v>
      </x:c>
      <x:c r="C6" s="29" t="str">
        <x:v>1500</x:v>
      </x:c>
      <x:c r="D6" s="29" t="str">
        <x:v>control</x:v>
      </x:c>
      <x:c r="E6" s="29" t="str">
        <x:v>Brain computer plus distributed MCUs</x:v>
      </x:c>
    </x:row>
    <x:row r="7">
      <x:c r="A7" s="29" t="str">
        <x:v>sensors_cameras_and_logging</x:v>
      </x:c>
      <x:c r="B7" s="29" t="str">
        <x:v>600</x:v>
      </x:c>
      <x:c r="C7" s="29" t="str">
        <x:v>1200</x:v>
      </x:c>
      <x:c r="D7" s="29" t="str">
        <x:v>sensing</x:v>
      </x:c>
      <x:c r="E7" s="29" t="str">
        <x:v>Output encoders force sensors IMUs cameras</x:v>
      </x:c>
    </x:row>
    <x:row r="8">
      <x:c r="A8" s="29" t="str">
        <x:v>wiring_connectors_and_enclosures</x:v>
      </x:c>
      <x:c r="B8" s="29" t="str">
        <x:v>300</x:v>
      </x:c>
      <x:c r="C8" s="29" t="str">
        <x:v>700</x:v>
      </x:c>
      <x:c r="D8" s="29" t="str">
        <x:v>electrical</x:v>
      </x:c>
      <x:c r="E8" s="29" t="str">
        <x:v>Flexible cable and strain relief</x:v>
      </x:c>
    </x:row>
    <x:row r="9">
      <x:c r="A9" s="29" t="str">
        <x:v>safety_hardware_on_robot</x:v>
      </x:c>
      <x:c r="B9" s="29" t="str">
        <x:v>600</x:v>
      </x:c>
      <x:c r="C9" s="29" t="str">
        <x:v>1200</x:v>
      </x:c>
      <x:c r="D9" s="29" t="str">
        <x:v>safety</x:v>
      </x:c>
      <x:c r="E9" s="29" t="str">
        <x:v>E-stops contactors guards disconnect</x:v>
      </x:c>
    </x:row>
    <x:row r="10">
      <x:c r="A10" s="29" t="str">
        <x:v>rubber_padding_and_miscellaneous</x:v>
      </x:c>
      <x:c r="B10" s="29" t="str">
        <x:v>300</x:v>
      </x:c>
      <x:c r="C10" s="29" t="str">
        <x:v>600</x:v>
      </x:c>
      <x:c r="D10" s="29" t="str">
        <x:v>all</x:v>
      </x:c>
      <x:c r="E10" s="29" t="str">
        <x:v>Feet hands bumpers</x:v>
      </x:c>
    </x:row>
    <x:row r="11">
      <x:c r="A11" s="29" t="str">
        <x:v>prototype_damage_and_contingency</x:v>
      </x:c>
      <x:c r="B11" s="29" t="str">
        <x:v>1200</x:v>
      </x:c>
      <x:c r="C11" s="29" t="str">
        <x:v>2200</x:v>
      </x:c>
      <x:c r="D11" s="29" t="str">
        <x:v>all</x:v>
      </x:c>
      <x:c r="E11" s="29" t="str">
        <x:v>Does not include tools or labor</x:v>
      </x:c>
    </x:row>
    <x:row r="12">
      <x:c r="A12" s="29" t="str">
        <x:v>total</x:v>
      </x:c>
      <x:c r="B12" s="29" t="str">
        <x:v>12600</x:v>
      </x:c>
      <x:c r="C12" s="29" t="str">
        <x:v>20000</x:v>
      </x:c>
      <x:c r="D12" s="29" t="str">
        <x:v>all</x:v>
      </x:c>
      <x:c r="E12" s="29" t="str">
        <x:v>USD 600 above target; actuator and mass testing drive value engineering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27" t="str">
        <x:v>hazard_id</x:v>
      </x:c>
      <x:c r="B1" s="27" t="str">
        <x:v>phase</x:v>
      </x:c>
      <x:c r="C1" s="27" t="str">
        <x:v>hazard</x:v>
      </x:c>
      <x:c r="D1" s="27" t="str">
        <x:v>cause</x:v>
      </x:c>
      <x:c r="E1" s="27" t="str">
        <x:v>effect</x:v>
      </x:c>
      <x:c r="F1" s="27" t="str">
        <x:v>initial_severity</x:v>
      </x:c>
      <x:c r="G1" s="27" t="str">
        <x:v>initial_likelihood</x:v>
      </x:c>
      <x:c r="H1" s="27" t="str">
        <x:v>initial_risk</x:v>
      </x:c>
      <x:c r="I1" s="27" t="str">
        <x:v>controls</x:v>
      </x:c>
      <x:c r="J1" s="27" t="str">
        <x:v>verification</x:v>
      </x:c>
      <x:c r="K1" s="27" t="str">
        <x:v>residual_severity</x:v>
      </x:c>
      <x:c r="L1" s="27" t="str">
        <x:v>residual_likelihood</x:v>
      </x:c>
      <x:c r="M1" s="27" t="str">
        <x:v>residual_risk</x:v>
      </x:c>
      <x:c r="N1" s="27" t="str">
        <x:v>owner</x:v>
      </x:c>
      <x:c r="O1" s="27" t="str">
        <x:v>status</x:v>
      </x:c>
    </x:row>
    <x:row r="2">
      <x:c r="A2" s="29" t="str">
        <x:v>H01</x:v>
      </x:c>
      <x:c r="B2" s="29" t="str">
        <x:v>all</x:v>
      </x:c>
      <x:c r="C2" s="29" t="str">
        <x:v>Unexpected motion</x:v>
      </x:c>
      <x:c r="D2" s="29" t="str">
        <x:v>stale command software fault or bus corruption</x:v>
      </x:c>
      <x:c r="E2" s="29" t="str">
        <x:v>impact pinch or fall</x:v>
      </x:c>
      <x:c r="F2" s="29" t="str">
        <x:v>5</x:v>
      </x:c>
      <x:c r="G2" s="29" t="str">
        <x:v>3</x:v>
      </x:c>
      <x:c r="H2" s="29" t="str">
        <x:v>15</x:v>
      </x:c>
      <x:c r="I2" s="29" t="str">
        <x:v>typed commands deadlines watchdog joint limits independent enable</x:v>
      </x:c>
      <x:c r="J2" s="29" t="str">
        <x:v>fault injection and E-stop tests</x:v>
      </x:c>
      <x:c r="K2" s="29" t="str">
        <x:v>5</x:v>
      </x:c>
      <x:c r="L2" s="29" t="str">
        <x:v>1</x:v>
      </x:c>
      <x:c r="M2" s="29" t="str">
        <x:v>5</x:v>
      </x:c>
      <x:c r="N2" s="29" t="str">
        <x:v>Safety lead</x:v>
      </x:c>
      <x:c r="O2" s="29" t="str">
        <x:v>open</x:v>
      </x:c>
    </x:row>
    <x:row r="3">
      <x:c r="A3" s="29" t="str">
        <x:v>H02</x:v>
      </x:c>
      <x:c r="B3" s="29" t="str">
        <x:v>standing</x:v>
      </x:c>
      <x:c r="C3" s="29" t="str">
        <x:v>Robot fall</x:v>
      </x:c>
      <x:c r="D3" s="29" t="str">
        <x:v>balance loss structural failure or power loss</x:v>
      </x:c>
      <x:c r="E3" s="29" t="str">
        <x:v>impact injury and equipment damage</x:v>
      </x:c>
      <x:c r="F3" s="29" t="str">
        <x:v>5</x:v>
      </x:c>
      <x:c r="G3" s="29" t="str">
        <x:v>4</x:v>
      </x:c>
      <x:c r="H3" s="29" t="str">
        <x:v>20</x:v>
      </x:c>
      <x:c r="I3" s="29" t="str">
        <x:v>overhead fall arrest exclusion zone low speed staged testing</x:v>
      </x:c>
      <x:c r="J3" s="29" t="str">
        <x:v>gantry proof and suspended fault tests</x:v>
      </x:c>
      <x:c r="K3" s="29" t="str">
        <x:v>5</x:v>
      </x:c>
      <x:c r="L3" s="29" t="str">
        <x:v>1</x:v>
      </x:c>
      <x:c r="M3" s="29" t="str">
        <x:v>5</x:v>
      </x:c>
      <x:c r="N3" s="29" t="str">
        <x:v>Test lead</x:v>
      </x:c>
      <x:c r="O3" s="29" t="str">
        <x:v>open</x:v>
      </x:c>
    </x:row>
    <x:row r="4">
      <x:c r="A4" s="29" t="str">
        <x:v>H03</x:v>
      </x:c>
      <x:c r="B4" s="29" t="str">
        <x:v>ladder</x:v>
      </x:c>
      <x:c r="C4" s="29" t="str">
        <x:v>Loss of rung contact</x:v>
      </x:c>
      <x:c r="D4" s="29" t="str">
        <x:v>grip slip tendon failure or false contact</x:v>
      </x:c>
      <x:c r="E4" s="29" t="str">
        <x:v>fall and shock load</x:v>
      </x:c>
      <x:c r="F4" s="29" t="str">
        <x:v>5</x:v>
      </x:c>
      <x:c r="G4" s="29" t="str">
        <x:v>4</x:v>
      </x:c>
      <x:c r="H4" s="29" t="str">
        <x:v>20</x:v>
      </x:c>
      <x:c r="I4" s="29" t="str">
        <x:v>positive hooks three contacts independent sensors tether</x:v>
      </x:c>
      <x:c r="J4" s="29" t="str">
        <x:v>rung fixture power-loss and single-fault tests</x:v>
      </x:c>
      <x:c r="K4" s="29" t="str">
        <x:v>5</x:v>
      </x:c>
      <x:c r="L4" s="29" t="str">
        <x:v>1</x:v>
      </x:c>
      <x:c r="M4" s="29" t="str">
        <x:v>5</x:v>
      </x:c>
      <x:c r="N4" s="29" t="str">
        <x:v>Mechanical lead</x:v>
      </x:c>
      <x:c r="O4" s="29" t="str">
        <x:v>open</x:v>
      </x:c>
    </x:row>
    <x:row r="5">
      <x:c r="A5" s="29" t="str">
        <x:v>H04</x:v>
      </x:c>
      <x:c r="B5" s="29" t="str">
        <x:v>all</x:v>
      </x:c>
      <x:c r="C5" s="29" t="str">
        <x:v>Plywood fracture</x:v>
      </x:c>
      <x:c r="D5" s="29" t="str">
        <x:v>overload fatigue defect moisture or poor grain</x:v>
      </x:c>
      <x:c r="E5" s="29" t="str">
        <x:v>joint collapse or sharp fragments</x:v>
      </x:c>
      <x:c r="F5" s="29" t="str">
        <x:v>5</x:v>
      </x:c>
      <x:c r="G5" s="29" t="str">
        <x:v>3</x:v>
      </x:c>
      <x:c r="H5" s="29" t="str">
        <x:v>15</x:v>
      </x:c>
      <x:c r="I5" s="29" t="str">
        <x:v>void-free material proof/endurance tests inspection life tracking</x:v>
      </x:c>
      <x:c r="J5" s="29" t="str">
        <x:v>coupon J1 J2 and full-link tests</x:v>
      </x:c>
      <x:c r="K5" s="29" t="str">
        <x:v>5</x:v>
      </x:c>
      <x:c r="L5" s="29" t="str">
        <x:v>2</x:v>
      </x:c>
      <x:c r="M5" s="29" t="str">
        <x:v>10</x:v>
      </x:c>
      <x:c r="N5" s="29" t="str">
        <x:v>Structures lead</x:v>
      </x:c>
      <x:c r="O5" s="29" t="str">
        <x:v>open</x:v>
      </x:c>
    </x:row>
    <x:row r="6">
      <x:c r="A6" s="29" t="str">
        <x:v>H05</x:v>
      </x:c>
      <x:c r="B6" s="29" t="str">
        <x:v>all</x:v>
      </x:c>
      <x:c r="C6" s="29" t="str">
        <x:v>Delamination</x:v>
      </x:c>
      <x:c r="D6" s="29" t="str">
        <x:v>heat moisture impact or fastener stress</x:v>
      </x:c>
      <x:c r="E6" s="29" t="str">
        <x:v>loss of stiffness and sudden failure</x:v>
      </x:c>
      <x:c r="F6" s="29" t="str">
        <x:v>4</x:v>
      </x:c>
      <x:c r="G6" s="29" t="str">
        <x:v>3</x:v>
      </x:c>
      <x:c r="H6" s="29" t="str">
        <x:v>12</x:v>
      </x:c>
      <x:c r="I6" s="29" t="str">
        <x:v>sealed edges controlled storage large washers inspection</x:v>
      </x:c>
      <x:c r="J6" s="29" t="str">
        <x:v>humidity and cyclic load tests</x:v>
      </x:c>
      <x:c r="K6" s="29" t="str">
        <x:v>4</x:v>
      </x:c>
      <x:c r="L6" s="29" t="str">
        <x:v>1</x:v>
      </x:c>
      <x:c r="M6" s="29" t="str">
        <x:v>4</x:v>
      </x:c>
      <x:c r="N6" s="29" t="str">
        <x:v>Structures lead</x:v>
      </x:c>
      <x:c r="O6" s="29" t="str">
        <x:v>open</x:v>
      </x:c>
    </x:row>
    <x:row r="7">
      <x:c r="A7" s="29" t="str">
        <x:v>H06</x:v>
      </x:c>
      <x:c r="B7" s="29" t="str">
        <x:v>all</x:v>
      </x:c>
      <x:c r="C7" s="29" t="str">
        <x:v>Bearing migration</x:v>
      </x:c>
      <x:c r="D7" s="29" t="str">
        <x:v>incorrect pocket fit or plywood creep</x:v>
      </x:c>
      <x:c r="E7" s="29" t="str">
        <x:v>shaft misalignment and seizure</x:v>
      </x:c>
      <x:c r="F7" s="29" t="str">
        <x:v>4</x:v>
      </x:c>
      <x:c r="G7" s="29" t="str">
        <x:v>3</x:v>
      </x:c>
      <x:c r="H7" s="29" t="str">
        <x:v>12</x:v>
      </x:c>
      <x:c r="I7" s="29" t="str">
        <x:v>fit coupon bolted retainers witness marks</x:v>
      </x:c>
      <x:c r="J7" s="29" t="str">
        <x:v>500 and 10000 cycle inspection</x:v>
      </x:c>
      <x:c r="K7" s="29" t="str">
        <x:v>4</x:v>
      </x:c>
      <x:c r="L7" s="29" t="str">
        <x:v>1</x:v>
      </x:c>
      <x:c r="M7" s="29" t="str">
        <x:v>4</x:v>
      </x:c>
      <x:c r="N7" s="29" t="str">
        <x:v>Mechanical lead</x:v>
      </x:c>
      <x:c r="O7" s="29" t="str">
        <x:v>open</x:v>
      </x:c>
    </x:row>
    <x:row r="8">
      <x:c r="A8" s="29" t="str">
        <x:v>H07</x:v>
      </x:c>
      <x:c r="B8" s="29" t="str">
        <x:v>all</x:v>
      </x:c>
      <x:c r="C8" s="29" t="str">
        <x:v>Tendon rupture</x:v>
      </x:c>
      <x:c r="D8" s="29" t="str">
        <x:v>abrasion overload small bend radius or bad termination</x:v>
      </x:c>
      <x:c r="E8" s="29" t="str">
        <x:v>uncontrolled joint motion</x:v>
      </x:c>
      <x:c r="F8" s="29" t="str">
        <x:v>5</x:v>
      </x:c>
      <x:c r="G8" s="29" t="str">
        <x:v>3</x:v>
      </x:c>
      <x:c r="H8" s="29" t="str">
        <x:v>15</x:v>
      </x:c>
      <x:c r="I8" s="29" t="str">
        <x:v>force limit bend-radius rules guards redundant/load-catching geometry</x:v>
      </x:c>
      <x:c r="J8" s="29" t="str">
        <x:v>termination test and tendon endurance</x:v>
      </x:c>
      <x:c r="K8" s="29" t="str">
        <x:v>5</x:v>
      </x:c>
      <x:c r="L8" s="29" t="str">
        <x:v>1</x:v>
      </x:c>
      <x:c r="M8" s="29" t="str">
        <x:v>5</x:v>
      </x:c>
      <x:c r="N8" s="29" t="str">
        <x:v>Transmission lead</x:v>
      </x:c>
      <x:c r="O8" s="29" t="str">
        <x:v>open</x:v>
      </x:c>
    </x:row>
    <x:row r="9">
      <x:c r="A9" s="29" t="str">
        <x:v>H08</x:v>
      </x:c>
      <x:c r="B9" s="29" t="str">
        <x:v>all</x:v>
      </x:c>
      <x:c r="C9" s="29" t="str">
        <x:v>Tendon entanglement</x:v>
      </x:c>
      <x:c r="D9" s="29" t="str">
        <x:v>exposed moving line or loose clothing</x:v>
      </x:c>
      <x:c r="E9" s="29" t="str">
        <x:v>pinch or pull-in injury</x:v>
      </x:c>
      <x:c r="F9" s="29" t="str">
        <x:v>4</x:v>
      </x:c>
      <x:c r="G9" s="29" t="str">
        <x:v>3</x:v>
      </x:c>
      <x:c r="H9" s="29" t="str">
        <x:v>12</x:v>
      </x:c>
      <x:c r="I9" s="29" t="str">
        <x:v>polycarbonate guards exclusion zone service lockout</x:v>
      </x:c>
      <x:c r="J9" s="29" t="str">
        <x:v>guard inspection and access probe</x:v>
      </x:c>
      <x:c r="K9" s="29" t="str">
        <x:v>4</x:v>
      </x:c>
      <x:c r="L9" s="29" t="str">
        <x:v>1</x:v>
      </x:c>
      <x:c r="M9" s="29" t="str">
        <x:v>4</x:v>
      </x:c>
      <x:c r="N9" s="29" t="str">
        <x:v>Safety lead</x:v>
      </x:c>
      <x:c r="O9" s="29" t="str">
        <x:v>open</x:v>
      </x:c>
    </x:row>
    <x:row r="10">
      <x:c r="A10" s="29" t="str">
        <x:v>H09</x:v>
      </x:c>
      <x:c r="B10" s="29" t="str">
        <x:v>all</x:v>
      </x:c>
      <x:c r="C10" s="29" t="str">
        <x:v>Pinch/shear point</x:v>
      </x:c>
      <x:c r="D10" s="29" t="str">
        <x:v>joint gaps pulleys or grippers</x:v>
      </x:c>
      <x:c r="E10" s="29" t="str">
        <x:v>finger injury</x:v>
      </x:c>
      <x:c r="F10" s="29" t="str">
        <x:v>4</x:v>
      </x:c>
      <x:c r="G10" s="29" t="str">
        <x:v>4</x:v>
      </x:c>
      <x:c r="H10" s="29" t="str">
        <x:v>16</x:v>
      </x:c>
      <x:c r="I10" s="29" t="str">
        <x:v>guards safe spacing low commissioning force exclusion zone</x:v>
      </x:c>
      <x:c r="J10" s="29" t="str">
        <x:v>pinch-point audit</x:v>
      </x:c>
      <x:c r="K10" s="29" t="str">
        <x:v>4</x:v>
      </x:c>
      <x:c r="L10" s="29" t="str">
        <x:v>1</x:v>
      </x:c>
      <x:c r="M10" s="29" t="str">
        <x:v>4</x:v>
      </x:c>
      <x:c r="N10" s="29" t="str">
        <x:v>Safety lead</x:v>
      </x:c>
      <x:c r="O10" s="29" t="str">
        <x:v>open</x:v>
      </x:c>
    </x:row>
    <x:row r="11">
      <x:c r="A11" s="29" t="str">
        <x:v>H10</x:v>
      </x:c>
      <x:c r="B11" s="29" t="str">
        <x:v>power</x:v>
      </x:c>
      <x:c r="C11" s="29" t="str">
        <x:v>Battery thermal event</x:v>
      </x:c>
      <x:c r="D11" s="29" t="str">
        <x:v>cell fault damage overcurrent or charging error</x:v>
      </x:c>
      <x:c r="E11" s="29" t="str">
        <x:v>fire toxic smoke and ignition of wood</x:v>
      </x:c>
      <x:c r="F11" s="29" t="str">
        <x:v>5</x:v>
      </x:c>
      <x:c r="G11" s="29" t="str">
        <x:v>2</x:v>
      </x:c>
      <x:c r="H11" s="29" t="str">
        <x:v>10</x:v>
      </x:c>
      <x:c r="I11" s="29" t="str">
        <x:v>certified pack BMS fuse thermal barrier monitored charging</x:v>
      </x:c>
      <x:c r="J11" s="29" t="str">
        <x:v>supplier evidence abuse response drill thermal test</x:v>
      </x:c>
      <x:c r="K11" s="29" t="str">
        <x:v>5</x:v>
      </x:c>
      <x:c r="L11" s="29" t="str">
        <x:v>1</x:v>
      </x:c>
      <x:c r="M11" s="29" t="str">
        <x:v>5</x:v>
      </x:c>
      <x:c r="N11" s="29" t="str">
        <x:v>Electrical lead</x:v>
      </x:c>
      <x:c r="O11" s="29" t="str">
        <x:v>open</x:v>
      </x:c>
    </x:row>
    <x:row r="12">
      <x:c r="A12" s="29" t="str">
        <x:v>H11</x:v>
      </x:c>
      <x:c r="B12" s="29" t="str">
        <x:v>power</x:v>
      </x:c>
      <x:c r="C12" s="29" t="str">
        <x:v>Electrical short</x:v>
      </x:c>
      <x:c r="D12" s="29" t="str">
        <x:v>wiring damage connector error or conductive debris</x:v>
      </x:c>
      <x:c r="E12" s="29" t="str">
        <x:v>fire loss of control</x:v>
      </x:c>
      <x:c r="F12" s="29" t="str">
        <x:v>5</x:v>
      </x:c>
      <x:c r="G12" s="29" t="str">
        <x:v>3</x:v>
      </x:c>
      <x:c r="H12" s="29" t="str">
        <x:v>15</x:v>
      </x:c>
      <x:c r="I12" s="29" t="str">
        <x:v>branch protection strain relief inspection isolation and enclosure</x:v>
      </x:c>
      <x:c r="J12" s="29" t="str">
        <x:v>short-circuit selectivity and insulation tests</x:v>
      </x:c>
      <x:c r="K12" s="29" t="str">
        <x:v>5</x:v>
      </x:c>
      <x:c r="L12" s="29" t="str">
        <x:v>1</x:v>
      </x:c>
      <x:c r="M12" s="29" t="str">
        <x:v>5</x:v>
      </x:c>
      <x:c r="N12" s="29" t="str">
        <x:v>Electrical lead</x:v>
      </x:c>
      <x:c r="O12" s="29" t="str">
        <x:v>open</x:v>
      </x:c>
    </x:row>
    <x:row r="13">
      <x:c r="A13" s="29" t="str">
        <x:v>H12</x:v>
      </x:c>
      <x:c r="B13" s="29" t="str">
        <x:v>power</x:v>
      </x:c>
      <x:c r="C13" s="29" t="str">
        <x:v>Contactor weld</x:v>
      </x:c>
      <x:c r="D13" s="29" t="str">
        <x:v>DC fault or underrated switching</x:v>
      </x:c>
      <x:c r="E13" s="29" t="str">
        <x:v>drives remain energized</x:v>
      </x:c>
      <x:c r="F13" s="29" t="str">
        <x:v>5</x:v>
      </x:c>
      <x:c r="G13" s="29" t="str">
        <x:v>2</x:v>
      </x:c>
      <x:c r="H13" s="29" t="str">
        <x:v>10</x:v>
      </x:c>
      <x:c r="I13" s="29" t="str">
        <x:v>rated contactor welded-contact feedback service disconnect</x:v>
      </x:c>
      <x:c r="J13" s="29" t="str">
        <x:v>forced feedback mismatch test</x:v>
      </x:c>
      <x:c r="K13" s="29" t="str">
        <x:v>5</x:v>
      </x:c>
      <x:c r="L13" s="29" t="str">
        <x:v>1</x:v>
      </x:c>
      <x:c r="M13" s="29" t="str">
        <x:v>5</x:v>
      </x:c>
      <x:c r="N13" s="29" t="str">
        <x:v>Electrical lead</x:v>
      </x:c>
      <x:c r="O13" s="29" t="str">
        <x:v>open</x:v>
      </x:c>
    </x:row>
    <x:row r="14">
      <x:c r="A14" s="29" t="str">
        <x:v>H13</x:v>
      </x:c>
      <x:c r="B14" s="29" t="str">
        <x:v>control</x:v>
      </x:c>
      <x:c r="C14" s="29" t="str">
        <x:v>Encoder fault</x:v>
      </x:c>
      <x:c r="D14" s="29" t="str">
        <x:v>magnet shift wire break or software error</x:v>
      </x:c>
      <x:c r="E14" s="29" t="str">
        <x:v>incorrect joint estimate</x:v>
      </x:c>
      <x:c r="F14" s="29" t="str">
        <x:v>5</x:v>
      </x:c>
      <x:c r="G14" s="29" t="str">
        <x:v>3</x:v>
      </x:c>
      <x:c r="H14" s="29" t="str">
        <x:v>15</x:v>
      </x:c>
      <x:c r="I14" s="29" t="str">
        <x:v>output sensing plausibility checks NC wiring hard stops</x:v>
      </x:c>
      <x:c r="J14" s="29" t="str">
        <x:v>disconnect drift and disagreement tests</x:v>
      </x:c>
      <x:c r="K14" s="29" t="str">
        <x:v>5</x:v>
      </x:c>
      <x:c r="L14" s="29" t="str">
        <x:v>1</x:v>
      </x:c>
      <x:c r="M14" s="29" t="str">
        <x:v>5</x:v>
      </x:c>
      <x:c r="N14" s="29" t="str">
        <x:v>Controls lead</x:v>
      </x:c>
      <x:c r="O14" s="29" t="str">
        <x:v>open</x:v>
      </x:c>
    </x:row>
    <x:row r="15">
      <x:c r="A15" s="29" t="str">
        <x:v>H14</x:v>
      </x:c>
      <x:c r="B15" s="29" t="str">
        <x:v>control</x:v>
      </x:c>
      <x:c r="C15" s="29" t="str">
        <x:v>False foot contact</x:v>
      </x:c>
      <x:c r="D15" s="29" t="str">
        <x:v>sensor saturation drift or calibration error</x:v>
      </x:c>
      <x:c r="E15" s="29" t="str">
        <x:v>unstable support transition</x:v>
      </x:c>
      <x:c r="F15" s="29" t="str">
        <x:v>5</x:v>
      </x:c>
      <x:c r="G15" s="29" t="str">
        <x:v>3</x:v>
      </x:c>
      <x:c r="H15" s="29" t="str">
        <x:v>15</x:v>
      </x:c>
      <x:c r="I15" s="29" t="str">
        <x:v>multiple force zones estimator plausibility tether</x:v>
      </x:c>
      <x:c r="J15" s="29" t="str">
        <x:v>contact fault injection</x:v>
      </x:c>
      <x:c r="K15" s="29" t="str">
        <x:v>5</x:v>
      </x:c>
      <x:c r="L15" s="29" t="str">
        <x:v>1</x:v>
      </x:c>
      <x:c r="M15" s="29" t="str">
        <x:v>5</x:v>
      </x:c>
      <x:c r="N15" s="29" t="str">
        <x:v>Controls lead</x:v>
      </x:c>
      <x:c r="O15" s="29" t="str">
        <x:v>open</x:v>
      </x:c>
    </x:row>
    <x:row r="16">
      <x:c r="A16" s="29" t="str">
        <x:v>H15</x:v>
      </x:c>
      <x:c r="B16" s="29" t="str">
        <x:v>control</x:v>
      </x:c>
      <x:c r="C16" s="29" t="str">
        <x:v>Perception error</x:v>
      </x:c>
      <x:c r="D16" s="29" t="str">
        <x:v>occlusion latency or false detection</x:v>
      </x:c>
      <x:c r="E16" s="29" t="str">
        <x:v>collision or incorrect target</x:v>
      </x:c>
      <x:c r="F16" s="29" t="str">
        <x:v>4</x:v>
      </x:c>
      <x:c r="G16" s="29" t="str">
        <x:v>3</x:v>
      </x:c>
      <x:c r="H16" s="29" t="str">
        <x:v>12</x:v>
      </x:c>
      <x:c r="I16" s="29" t="str">
        <x:v>slow motion workspace limits target confidence human supervision</x:v>
      </x:c>
      <x:c r="J16" s="29" t="str">
        <x:v>sensor-loss and false-target tests</x:v>
      </x:c>
      <x:c r="K16" s="29" t="str">
        <x:v>4</x:v>
      </x:c>
      <x:c r="L16" s="29" t="str">
        <x:v>1</x:v>
      </x:c>
      <x:c r="M16" s="29" t="str">
        <x:v>4</x:v>
      </x:c>
      <x:c r="N16" s="29" t="str">
        <x:v>Perception lead</x:v>
      </x:c>
      <x:c r="O16" s="29" t="str">
        <x:v>open</x:v>
      </x:c>
    </x:row>
    <x:row r="17">
      <x:c r="A17" s="29" t="str">
        <x:v>H16</x:v>
      </x:c>
      <x:c r="B17" s="29" t="str">
        <x:v>maintenance</x:v>
      </x:c>
      <x:c r="C17" s="29" t="str">
        <x:v>Unexpected energization</x:v>
      </x:c>
      <x:c r="D17" s="29" t="str">
        <x:v>incomplete lockout or remote command</x:v>
      </x:c>
      <x:c r="E17" s="29" t="str">
        <x:v>technician injury</x:v>
      </x:c>
      <x:c r="F17" s="29" t="str">
        <x:v>5</x:v>
      </x:c>
      <x:c r="G17" s="29" t="str">
        <x:v>3</x:v>
      </x:c>
      <x:c r="H17" s="29" t="str">
        <x:v>15</x:v>
      </x:c>
      <x:c r="I17" s="29" t="str">
        <x:v>service disconnect lockout tag maintenance mode zero-energy verification</x:v>
      </x:c>
      <x:c r="J17" s="29" t="str">
        <x:v>maintenance audit</x:v>
      </x:c>
      <x:c r="K17" s="29" t="str">
        <x:v>5</x:v>
      </x:c>
      <x:c r="L17" s="29" t="str">
        <x:v>1</x:v>
      </x:c>
      <x:c r="M17" s="29" t="str">
        <x:v>5</x:v>
      </x:c>
      <x:c r="N17" s="29" t="str">
        <x:v>Maintenance lead</x:v>
      </x:c>
      <x:c r="O17" s="29" t="str">
        <x:v>open</x:v>
      </x:c>
    </x:row>
    <x:row r="18">
      <x:c r="A18" s="29" t="str">
        <x:v>H17</x:v>
      </x:c>
      <x:c r="B18" s="29" t="str">
        <x:v>commissioning</x:v>
      </x:c>
      <x:c r="C18" s="29" t="str">
        <x:v>Incorrect configuration</x:v>
      </x:c>
      <x:c r="D18" s="29" t="str">
        <x:v>wrong limits firmware or joint mapping</x:v>
      </x:c>
      <x:c r="E18" s="29" t="str">
        <x:v>overtravel or unstable motion</x:v>
      </x:c>
      <x:c r="F18" s="29" t="str">
        <x:v>5</x:v>
      </x:c>
      <x:c r="G18" s="29" t="str">
        <x:v>3</x:v>
      </x:c>
      <x:c r="H18" s="29" t="str">
        <x:v>15</x:v>
      </x:c>
      <x:c r="I18" s="29" t="str">
        <x:v>configuration hashes version check axis-by-axis commissioning</x:v>
      </x:c>
      <x:c r="J18" s="29" t="str">
        <x:v>configuration mismatch tests</x:v>
      </x:c>
      <x:c r="K18" s="29" t="str">
        <x:v>5</x:v>
      </x:c>
      <x:c r="L18" s="29" t="str">
        <x:v>1</x:v>
      </x:c>
      <x:c r="M18" s="29" t="str">
        <x:v>5</x:v>
      </x:c>
      <x:c r="N18" s="29" t="str">
        <x:v>Systems lead</x:v>
      </x:c>
      <x:c r="O18" s="29" t="str">
        <x:v>open</x:v>
      </x:c>
    </x:row>
    <x:row r="19">
      <x:c r="A19" s="29" t="str">
        <x:v>H18</x:v>
      </x:c>
      <x:c r="B19" s="29" t="str">
        <x:v>stairs</x:v>
      </x:c>
      <x:c r="C19" s="29" t="str">
        <x:v>Foot edge contact</x:v>
      </x:c>
      <x:c r="D19" s="29" t="str">
        <x:v>registration error or insufficient clearance</x:v>
      </x:c>
      <x:c r="E19" s="29" t="str">
        <x:v>trip or fall</x:v>
      </x:c>
      <x:c r="F19" s="29" t="str">
        <x:v>5</x:v>
      </x:c>
      <x:c r="G19" s="29" t="str">
        <x:v>3</x:v>
      </x:c>
      <x:c r="H19" s="29" t="str">
        <x:v>15</x:v>
      </x:c>
      <x:c r="I19" s="29" t="str">
        <x:v>conservative step model toe clearance force verification tether</x:v>
      </x:c>
      <x:c r="J19" s="29" t="str">
        <x:v>stair fixture edge cases</x:v>
      </x:c>
      <x:c r="K19" s="29" t="str">
        <x:v>5</x:v>
      </x:c>
      <x:c r="L19" s="29" t="str">
        <x:v>1</x:v>
      </x:c>
      <x:c r="M19" s="29" t="str">
        <x:v>5</x:v>
      </x:c>
      <x:c r="N19" s="29" t="str">
        <x:v>Mobility lead</x:v>
      </x:c>
      <x:c r="O19" s="29" t="str">
        <x:v>open</x:v>
      </x:c>
    </x:row>
    <x:row r="20">
      <x:c r="A20" s="29" t="str">
        <x:v>H19</x:v>
      </x:c>
      <x:c r="B20" s="29" t="str">
        <x:v>handling</x:v>
      </x:c>
      <x:c r="C20" s="29" t="str">
        <x:v>Payload drop</x:v>
      </x:c>
      <x:c r="D20" s="29" t="str">
        <x:v>grip loss overload or wrist fault</x:v>
      </x:c>
      <x:c r="E20" s="29" t="str">
        <x:v>impact or property damage</x:v>
      </x:c>
      <x:c r="F20" s="29" t="str">
        <x:v>4</x:v>
      </x:c>
      <x:c r="G20" s="29" t="str">
        <x:v>3</x:v>
      </x:c>
      <x:c r="H20" s="29" t="str">
        <x:v>12</x:v>
      </x:c>
      <x:c r="I20" s="29" t="str">
        <x:v>two-hand cradle payload limits exclusion zone compliant test objects</x:v>
      </x:c>
      <x:c r="J20" s="29" t="str">
        <x:v>power-loss and overload drop tests</x:v>
      </x:c>
      <x:c r="K20" s="29" t="str">
        <x:v>4</x:v>
      </x:c>
      <x:c r="L20" s="29" t="str">
        <x:v>1</x:v>
      </x:c>
      <x:c r="M20" s="29" t="str">
        <x:v>4</x:v>
      </x:c>
      <x:c r="N20" s="29" t="str">
        <x:v>Manipulation lead</x:v>
      </x:c>
      <x:c r="O20" s="29" t="str">
        <x:v>open</x:v>
      </x:c>
    </x:row>
    <x:row r="21">
      <x:c r="A21" s="29" t="str">
        <x:v>H20</x:v>
      </x:c>
      <x:c r="B21" s="29" t="str">
        <x:v>cyber</x:v>
      </x:c>
      <x:c r="C21" s="29" t="str">
        <x:v>Unauthorized command</x:v>
      </x:c>
      <x:c r="D21" s="29" t="str">
        <x:v>network exposure credential loss or malicious input</x:v>
      </x:c>
      <x:c r="E21" s="29" t="str">
        <x:v>unexpected motion or data loss</x:v>
      </x:c>
      <x:c r="F21" s="29" t="str">
        <x:v>5</x:v>
      </x:c>
      <x:c r="G21" s="29" t="str">
        <x:v>2</x:v>
      </x:c>
      <x:c r="H21" s="29" t="str">
        <x:v>10</x:v>
      </x:c>
      <x:c r="I21" s="29" t="str">
        <x:v>isolated motor network authenticated gateway allowlists signed updates</x:v>
      </x:c>
      <x:c r="J21" s="29" t="str">
        <x:v>penetration and malformed-command tests</x:v>
      </x:c>
      <x:c r="K21" s="29" t="str">
        <x:v>5</x:v>
      </x:c>
      <x:c r="L21" s="29" t="str">
        <x:v>1</x:v>
      </x:c>
      <x:c r="M21" s="29" t="str">
        <x:v>5</x:v>
      </x:c>
      <x:c r="N21" s="29" t="str">
        <x:v>Security lead</x:v>
      </x:c>
      <x:c r="O21" s="29" t="str">
        <x:v>open</x:v>
      </x:c>
    </x:row>
    <x:row r="22">
      <x:c r="A22" s="29" t="str">
        <x:v>H21</x:v>
      </x:c>
      <x:c r="B22" s="29" t="str">
        <x:v>human-factors</x:v>
      </x:c>
      <x:c r="C22" s="29" t="str">
        <x:v>E-stop unreachable</x:v>
      </x:c>
      <x:c r="D22" s="29" t="str">
        <x:v>operator position obstruction or tether routing</x:v>
      </x:c>
      <x:c r="E22" s="29" t="str">
        <x:v>delayed hazardous-energy removal</x:v>
      </x:c>
      <x:c r="F22" s="29" t="str">
        <x:v>5</x:v>
      </x:c>
      <x:c r="G22" s="29" t="str">
        <x:v>2</x:v>
      </x:c>
      <x:c r="H22" s="29" t="str">
        <x:v>10</x:v>
      </x:c>
      <x:c r="I22" s="29" t="str">
        <x:v>rear shoulder stop reachable both sides plus pendant stop</x:v>
      </x:c>
      <x:c r="J22" s="29" t="str">
        <x:v>reachability trials in all test setups</x:v>
      </x:c>
      <x:c r="K22" s="29" t="str">
        <x:v>5</x:v>
      </x:c>
      <x:c r="L22" s="29" t="str">
        <x:v>1</x:v>
      </x:c>
      <x:c r="M22" s="29" t="str">
        <x:v>5</x:v>
      </x:c>
      <x:c r="N22" s="29" t="str">
        <x:v>Safety lead</x:v>
      </x:c>
      <x:c r="O22" s="29" t="str">
        <x:v>open</x:v>
      </x:c>
    </x:row>
    <x:row r="23">
      <x:c r="A23" s="29" t="str">
        <x:v>H22</x:v>
      </x:c>
      <x:c r="B23" s="29" t="str">
        <x:v>all</x:v>
      </x:c>
      <x:c r="C23" s="29" t="str">
        <x:v>Excessive noise or vibration</x:v>
      </x:c>
      <x:c r="D23" s="29" t="str">
        <x:v>resonance loose fastener tendon chatter</x:v>
      </x:c>
      <x:c r="E23" s="29" t="str">
        <x:v>structural fatigue and missed warnings</x:v>
      </x:c>
      <x:c r="F23" s="29" t="str">
        <x:v>3</x:v>
      </x:c>
      <x:c r="G23" s="29" t="str">
        <x:v>3</x:v>
      </x:c>
      <x:c r="H23" s="29" t="str">
        <x:v>9</x:v>
      </x:c>
      <x:c r="I23" s="29" t="str">
        <x:v>witness marks vibration logging stop thresholds</x:v>
      </x:c>
      <x:c r="J23" s="29" t="str">
        <x:v>modal observation and cycle tests</x:v>
      </x:c>
      <x:c r="K23" s="29" t="str">
        <x:v>3</x:v>
      </x:c>
      <x:c r="L23" s="29" t="str">
        <x:v>1</x:v>
      </x:c>
      <x:c r="M23" s="29" t="str">
        <x:v>3</x:v>
      </x:c>
      <x:c r="N23" s="29" t="str">
        <x:v>Mechanical lead</x:v>
      </x:c>
      <x:c r="O23" s="29" t="str">
        <x:v>open</x:v>
      </x:c>
    </x:row>
  </x:sheetData>
  <x:conditionalFormatting sqref="H2:H200">
    <x:cfRule type="colorScale" priority="1">
      <x:colorScale>
        <x:cfvo type="min"/>
        <x:cfvo type="percentile" val="50"/>
        <x:cfvo type="max"/>
        <x:color rgb="FFD9EAD3"/>
        <x:color rgb="FFFCE5CD"/>
        <x:color rgb="FFF4CCCC"/>
      </x:colorScale>
    </x:cfRule>
  </x:conditionalFormatting>
  <x:conditionalFormatting sqref="M2:M200">
    <x:cfRule type="colorScale" priority="2">
      <x:colorScale>
        <x:cfvo type="min"/>
        <x:cfvo type="percentile" val="50"/>
        <x:cfvo type="max"/>
        <x:color rgb="FFD9EAD3"/>
        <x:color rgb="FFFCE5CD"/>
        <x:color rgb="FFF4CCC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27" t="str">
        <x:v>req_id</x:v>
      </x:c>
      <x:c r="B1" s="27" t="str">
        <x:v>requirement</x:v>
      </x:c>
      <x:c r="C1" s="27" t="str">
        <x:v>verification_method</x:v>
      </x:c>
      <x:c r="D1" s="27" t="str">
        <x:v>evidence</x:v>
      </x:c>
      <x:c r="E1" s="27" t="str">
        <x:v>stage</x:v>
      </x:c>
      <x:c r="F1" s="27" t="str">
        <x:v>status</x:v>
      </x:c>
    </x:row>
    <x:row r="2">
      <x:c r="A2" s="29" t="str">
        <x:v>R001</x:v>
      </x:c>
      <x:c r="B2" s="29" t="str">
        <x:v>Height 1500 ±50 mm</x:v>
      </x:c>
      <x:c r="C2" s="29" t="str">
        <x:v>inspection</x:v>
      </x:c>
      <x:c r="D2" s="29" t="str">
        <x:v>FreeCAD and as-built measurement</x:v>
      </x:c>
      <x:c r="E2" s="29" t="str">
        <x:v>full-body</x:v>
      </x:c>
      <x:c r="F2" s="29" t="str">
        <x:v>planned</x:v>
      </x:c>
    </x:row>
    <x:row r="3">
      <x:c r="A3" s="29" t="str">
        <x:v>R002</x:v>
      </x:c>
      <x:c r="B3" s="29" t="str">
        <x:v>Target mass ≤32 kg; review at 35 kg</x:v>
      </x:c>
      <x:c r="C3" s="29" t="str">
        <x:v>analysis_and_inspection</x:v>
      </x:c>
      <x:c r="D3" s="29" t="str">
        <x:v>mass budget and scale measurements</x:v>
      </x:c>
      <x:c r="E3" s="29" t="str">
        <x:v>each assembly</x:v>
      </x:c>
      <x:c r="F3" s="29" t="str">
        <x:v>planned</x:v>
      </x:c>
    </x:row>
    <x:row r="4">
      <x:c r="A4" s="29" t="str">
        <x:v>R003</x:v>
      </x:c>
      <x:c r="B4" s="29" t="str">
        <x:v>No custom metal machining</x:v>
      </x:c>
      <x:c r="C4" s="29" t="str">
        <x:v>inspection</x:v>
      </x:c>
      <x:c r="D4" s="29" t="str">
        <x:v>BOM and supplier records</x:v>
      </x:c>
      <x:c r="E4" s="29" t="str">
        <x:v>procurement</x:v>
      </x:c>
      <x:c r="F4" s="29" t="str">
        <x:v>planned</x:v>
      </x:c>
    </x:row>
    <x:row r="5">
      <x:c r="A5" s="29" t="str">
        <x:v>R004</x:v>
      </x:c>
      <x:c r="B5" s="29" t="str">
        <x:v>31 controlled axes</x:v>
      </x:c>
      <x:c r="C5" s="29" t="str">
        <x:v>analysis_and_test</x:v>
      </x:c>
      <x:c r="D5" s="29" t="str">
        <x:v>URDF joint map and commissioning log</x:v>
      </x:c>
      <x:c r="E5" s="29" t="str">
        <x:v>simulation/full-body</x:v>
      </x:c>
      <x:c r="F5" s="29" t="str">
        <x:v>passed_analysis</x:v>
      </x:c>
    </x:row>
    <x:row r="6">
      <x:c r="A6" s="29" t="str">
        <x:v>R005</x:v>
      </x:c>
      <x:c r="B6" s="29" t="str">
        <x:v>5 kg two-hand close-body carry</x:v>
      </x:c>
      <x:c r="C6" s="29" t="str">
        <x:v>test</x:v>
      </x:c>
      <x:c r="D6" s="29" t="str">
        <x:v>guarded payload test log</x:v>
      </x:c>
      <x:c r="E6" s="29" t="str">
        <x:v>manipulation</x:v>
      </x:c>
      <x:c r="F6" s="29" t="str">
        <x:v>blocked_hardware</x:v>
      </x:c>
    </x:row>
    <x:row r="7">
      <x:c r="A7" s="29" t="str">
        <x:v>R006</x:v>
      </x:c>
      <x:c r="B7" s="29" t="str">
        <x:v>2 kg floor pickup</x:v>
      </x:c>
      <x:c r="C7" s="29" t="str">
        <x:v>test</x:v>
      </x:c>
      <x:c r="D7" s="29" t="str">
        <x:v>tethered squat/pickup log</x:v>
      </x:c>
      <x:c r="E7" s="29" t="str">
        <x:v>full-body</x:v>
      </x:c>
      <x:c r="F7" s="29" t="str">
        <x:v>blocked_hardware</x:v>
      </x:c>
    </x:row>
    <x:row r="8">
      <x:c r="A8" s="29" t="str">
        <x:v>R007</x:v>
      </x:c>
      <x:c r="B8" s="29" t="str">
        <x:v>Initial walking speed 0.15 m/s</x:v>
      </x:c>
      <x:c r="C8" s="29" t="str">
        <x:v>test</x:v>
      </x:c>
      <x:c r="D8" s="29" t="str">
        <x:v>tethered walking telemetry</x:v>
      </x:c>
      <x:c r="E8" s="29" t="str">
        <x:v>mobility</x:v>
      </x:c>
      <x:c r="F8" s="29" t="str">
        <x:v>blocked_hardware</x:v>
      </x:c>
    </x:row>
    <x:row r="9">
      <x:c r="A9" s="29" t="str">
        <x:v>R008</x:v>
      </x:c>
      <x:c r="B9" s="29" t="str">
        <x:v>180 mm stair rise</x:v>
      </x:c>
      <x:c r="C9" s="29" t="str">
        <x:v>test</x:v>
      </x:c>
      <x:c r="D9" s="29" t="str">
        <x:v>instrumented stair fixture</x:v>
      </x:c>
      <x:c r="E9" s="29" t="str">
        <x:v>stairs</x:v>
      </x:c>
      <x:c r="F9" s="29" t="str">
        <x:v>blocked_hardware</x:v>
      </x:c>
    </x:row>
    <x:row r="10">
      <x:c r="A10" s="29" t="str">
        <x:v>R009</x:v>
      </x:c>
      <x:c r="B10" s="29" t="str">
        <x:v>Ladder rung 25–35 mm</x:v>
      </x:c>
      <x:c r="C10" s="29" t="str">
        <x:v>inspection_and_test</x:v>
      </x:c>
      <x:c r="D10" s="29" t="str">
        <x:v>gripper/rung fixture report</x:v>
      </x:c>
      <x:c r="E10" s="29" t="str">
        <x:v>gripper</x:v>
      </x:c>
      <x:c r="F10" s="29" t="str">
        <x:v>blocked_hardware</x:v>
      </x:c>
    </x:row>
    <x:row r="11">
      <x:c r="A11" s="29" t="str">
        <x:v>R010</x:v>
      </x:c>
      <x:c r="B11" s="29" t="str">
        <x:v>Three contacts during ladder transition</x:v>
      </x:c>
      <x:c r="C11" s="29" t="str">
        <x:v>analysis_and_test</x:v>
      </x:c>
      <x:c r="D11" s="29" t="str">
        <x:v>state-machine trace and fault tests</x:v>
      </x:c>
      <x:c r="E11" s="29" t="str">
        <x:v>ladder</x:v>
      </x:c>
      <x:c r="F11" s="29" t="str">
        <x:v>blocked_hardware</x:v>
      </x:c>
    </x:row>
    <x:row r="12">
      <x:c r="A12" s="29" t="str">
        <x:v>R011</x:v>
      </x:c>
      <x:c r="B12" s="29" t="str">
        <x:v>Minimum 30 minute runtime</x:v>
      </x:c>
      <x:c r="C12" s="29" t="str">
        <x:v>analysis_and_test</x:v>
      </x:c>
      <x:c r="D12" s="29" t="str">
        <x:v>power budget and battery discharge test</x:v>
      </x:c>
      <x:c r="E12" s="29" t="str">
        <x:v>power</x:v>
      </x:c>
      <x:c r="F12" s="29" t="str">
        <x:v>planned</x:v>
      </x:c>
    </x:row>
    <x:row r="13">
      <x:c r="A13" s="29" t="str">
        <x:v>R012</x:v>
      </x:c>
      <x:c r="B13" s="29" t="str">
        <x:v>Rear shoulder E-stop reachable</x:v>
      </x:c>
      <x:c r="C13" s="29" t="str">
        <x:v>inspection_and_test</x:v>
      </x:c>
      <x:c r="D13" s="29" t="str">
        <x:v>reachability trial</x:v>
      </x:c>
      <x:c r="E13" s="29" t="str">
        <x:v>full-body</x:v>
      </x:c>
      <x:c r="F13" s="29" t="str">
        <x:v>planned</x:v>
      </x:c>
    </x:row>
    <x:row r="14">
      <x:c r="A14" s="29" t="str">
        <x:v>R013</x:v>
      </x:c>
      <x:c r="B14" s="29" t="str">
        <x:v>Independent drive-enable removal</x:v>
      </x:c>
      <x:c r="C14" s="29" t="str">
        <x:v>test</x:v>
      </x:c>
      <x:c r="D14" s="29" t="str">
        <x:v>schematic review and fault test</x:v>
      </x:c>
      <x:c r="E14" s="29" t="str">
        <x:v>J1/power</x:v>
      </x:c>
      <x:c r="F14" s="29" t="str">
        <x:v>planned</x:v>
      </x:c>
    </x:row>
    <x:row r="15">
      <x:c r="A15" s="29" t="str">
        <x:v>R014</x:v>
      </x:c>
      <x:c r="B15" s="29" t="str">
        <x:v>Output-side joint sensing</x:v>
      </x:c>
      <x:c r="C15" s="29" t="str">
        <x:v>inspection_and_test</x:v>
      </x:c>
      <x:c r="D15" s="29" t="str">
        <x:v>BOM wiring and encoder comparison</x:v>
      </x:c>
      <x:c r="E15" s="29" t="str">
        <x:v>each joint</x:v>
      </x:c>
      <x:c r="F15" s="29" t="str">
        <x:v>planned</x:v>
      </x:c>
    </x:row>
    <x:row r="16">
      <x:c r="A16" s="29" t="str">
        <x:v>R015</x:v>
      </x:c>
      <x:c r="B16" s="29" t="str">
        <x:v>Mechanical hard stops</x:v>
      </x:c>
      <x:c r="C16" s="29" t="str">
        <x:v>inspection_and_test</x:v>
      </x:c>
      <x:c r="D16" s="29" t="str">
        <x:v>range and overtravel test</x:v>
      </x:c>
      <x:c r="E16" s="29" t="str">
        <x:v>each joint</x:v>
      </x:c>
      <x:c r="F16" s="29" t="str">
        <x:v>planned</x:v>
      </x:c>
    </x:row>
    <x:row r="17">
      <x:c r="A17" s="29" t="str">
        <x:v>R016</x:v>
      </x:c>
      <x:c r="B17" s="29" t="str">
        <x:v>Stale command protective stop</x:v>
      </x:c>
      <x:c r="C17" s="29" t="str">
        <x:v>test</x:v>
      </x:c>
      <x:c r="D17" s="29" t="str">
        <x:v>timeout fault injection</x:v>
      </x:c>
      <x:c r="E17" s="29" t="str">
        <x:v>each controller</x:v>
      </x:c>
      <x:c r="F17" s="29" t="str">
        <x:v>planned</x:v>
      </x:c>
    </x:row>
    <x:row r="18">
      <x:c r="A18" s="29" t="str">
        <x:v>R017</x:v>
      </x:c>
      <x:c r="B18" s="29" t="str">
        <x:v>No motion on boot</x:v>
      </x:c>
      <x:c r="C18" s="29" t="str">
        <x:v>test</x:v>
      </x:c>
      <x:c r="D18" s="29" t="str">
        <x:v>power-cycle log</x:v>
      </x:c>
      <x:c r="E18" s="29" t="str">
        <x:v>each controller</x:v>
      </x:c>
      <x:c r="F18" s="29" t="str">
        <x:v>planned</x:v>
      </x:c>
    </x:row>
    <x:row r="19">
      <x:c r="A19" s="29" t="str">
        <x:v>R018</x:v>
      </x:c>
      <x:c r="B19" s="29" t="str">
        <x:v>Battery certified assembly</x:v>
      </x:c>
      <x:c r="C19" s="29" t="str">
        <x:v>inspection</x:v>
      </x:c>
      <x:c r="D19" s="29" t="str">
        <x:v>supplier declaration and receiving record</x:v>
      </x:c>
      <x:c r="E19" s="29" t="str">
        <x:v>procurement</x:v>
      </x:c>
      <x:c r="F19" s="29" t="str">
        <x:v>planned</x:v>
      </x:c>
    </x:row>
    <x:row r="20">
      <x:c r="A20" s="29" t="str">
        <x:v>R019</x:v>
      </x:c>
      <x:c r="B20" s="29" t="str">
        <x:v>Selective branch protection</x:v>
      </x:c>
      <x:c r="C20" s="29" t="str">
        <x:v>analysis_and_test</x:v>
      </x:c>
      <x:c r="D20" s="29" t="str">
        <x:v>fault-current study and branch test</x:v>
      </x:c>
      <x:c r="E20" s="29" t="str">
        <x:v>power</x:v>
      </x:c>
      <x:c r="F20" s="29" t="str">
        <x:v>planned</x:v>
      </x:c>
    </x:row>
    <x:row r="21">
      <x:c r="A21" s="29" t="str">
        <x:v>R020</x:v>
      </x:c>
      <x:c r="B21" s="29" t="str">
        <x:v>Plywood batch traceability</x:v>
      </x:c>
      <x:c r="C21" s="29" t="str">
        <x:v>inspection</x:v>
      </x:c>
      <x:c r="D21" s="29" t="str">
        <x:v>etched IDs and material log</x:v>
      </x:c>
      <x:c r="E21" s="29" t="str">
        <x:v>manufacturing</x:v>
      </x:c>
      <x:c r="F21" s="29" t="str">
        <x:v>planned</x:v>
      </x:c>
    </x:row>
    <x:row r="22">
      <x:c r="A22" s="29" t="str">
        <x:v>R021</x:v>
      </x:c>
      <x:c r="B22" s="29" t="str">
        <x:v>Bearing retention</x:v>
      </x:c>
      <x:c r="C22" s="29" t="str">
        <x:v>test</x:v>
      </x:c>
      <x:c r="D22" s="29" t="str">
        <x:v>coupon and endurance inspection</x:v>
      </x:c>
      <x:c r="E22" s="29" t="str">
        <x:v>J1/J2</x:v>
      </x:c>
      <x:c r="F22" s="29" t="str">
        <x:v>blocked_hardware</x:v>
      </x:c>
    </x:row>
    <x:row r="23">
      <x:c r="A23" s="29" t="str">
        <x:v>R022</x:v>
      </x:c>
      <x:c r="B23" s="29" t="str">
        <x:v>Tendon termination ≥600 N for J1</x:v>
      </x:c>
      <x:c r="C23" s="29" t="str">
        <x:v>test</x:v>
      </x:c>
      <x:c r="D23" s="29" t="str">
        <x:v>five-specimen termination report</x:v>
      </x:c>
      <x:c r="E23" s="29" t="str">
        <x:v>J1</x:v>
      </x:c>
      <x:c r="F23" s="29" t="str">
        <x:v>blocked_hardware</x:v>
      </x:c>
    </x:row>
    <x:row r="24">
      <x:c r="A24" s="29" t="str">
        <x:v>R023</x:v>
      </x:c>
      <x:c r="B24" s="29" t="str">
        <x:v>J1 proof torque 22 N·m</x:v>
      </x:c>
      <x:c r="C24" s="29" t="str">
        <x:v>test</x:v>
      </x:c>
      <x:c r="D24" s="29" t="str">
        <x:v>proof hold report</x:v>
      </x:c>
      <x:c r="E24" s="29" t="str">
        <x:v>J1</x:v>
      </x:c>
      <x:c r="F24" s="29" t="str">
        <x:v>blocked_hardware</x:v>
      </x:c>
    </x:row>
    <x:row r="25">
      <x:c r="A25" s="29" t="str">
        <x:v>R024</x:v>
      </x:c>
      <x:c r="B25" s="29" t="str">
        <x:v>J1 10000 representative cycles</x:v>
      </x:c>
      <x:c r="C25" s="29" t="str">
        <x:v>test</x:v>
      </x:c>
      <x:c r="D25" s="29" t="str">
        <x:v>endurance telemetry and teardown</x:v>
      </x:c>
      <x:c r="E25" s="29" t="str">
        <x:v>J1</x:v>
      </x:c>
      <x:c r="F25" s="29" t="str">
        <x:v>blocked_hardware</x:v>
      </x:c>
    </x:row>
    <x:row r="26">
      <x:c r="A26" s="29" t="str">
        <x:v>R025</x:v>
      </x:c>
      <x:c r="B26" s="29" t="str">
        <x:v>H-class proof torque 120 N·m</x:v>
      </x:c>
      <x:c r="C26" s="29" t="str">
        <x:v>test</x:v>
      </x:c>
      <x:c r="D26" s="29" t="str">
        <x:v>J2 proof report</x:v>
      </x:c>
      <x:c r="E26" s="29" t="str">
        <x:v>J2</x:v>
      </x:c>
      <x:c r="F26" s="29" t="str">
        <x:v>blocked_hardware</x:v>
      </x:c>
    </x:row>
    <x:row r="27">
      <x:c r="A27" s="29" t="str">
        <x:v>R026</x:v>
      </x:c>
      <x:c r="B27" s="29" t="str">
        <x:v>Protective fall arrest</x:v>
      </x:c>
      <x:c r="C27" s="29" t="str">
        <x:v>inspection_and_test</x:v>
      </x:c>
      <x:c r="D27" s="29" t="str">
        <x:v>gantry rating and drop-arrest procedure</x:v>
      </x:c>
      <x:c r="E27" s="29" t="str">
        <x:v>facility</x:v>
      </x:c>
      <x:c r="F27" s="29" t="str">
        <x:v>planned</x:v>
      </x:c>
    </x:row>
    <x:row r="28">
      <x:c r="A28" s="29" t="str">
        <x:v>R027</x:v>
      </x:c>
      <x:c r="B28" s="29" t="str">
        <x:v>Safe stair fault behavior</x:v>
      </x:c>
      <x:c r="C28" s="29" t="str">
        <x:v>test</x:v>
      </x:c>
      <x:c r="D28" s="29" t="str">
        <x:v>fault injection at each state</x:v>
      </x:c>
      <x:c r="E28" s="29" t="str">
        <x:v>stairs</x:v>
      </x:c>
      <x:c r="F28" s="29" t="str">
        <x:v>blocked_hardware</x:v>
      </x:c>
    </x:row>
    <x:row r="29">
      <x:c r="A29" s="29" t="str">
        <x:v>R028</x:v>
      </x:c>
      <x:c r="B29" s="29" t="str">
        <x:v>Positive ladder hook retains on power loss</x:v>
      </x:c>
      <x:c r="C29" s="29" t="str">
        <x:v>test</x:v>
      </x:c>
      <x:c r="D29" s="29" t="str">
        <x:v>rung fixture power-loss report</x:v>
      </x:c>
      <x:c r="E29" s="29" t="str">
        <x:v>gripper</x:v>
      </x:c>
      <x:c r="F29" s="29" t="str">
        <x:v>blocked_hardware</x:v>
      </x:c>
    </x:row>
    <x:row r="30">
      <x:c r="A30" s="29" t="str">
        <x:v>R029</x:v>
      </x:c>
      <x:c r="B30" s="29" t="str">
        <x:v>Language cannot reset safety fault</x:v>
      </x:c>
      <x:c r="C30" s="29" t="str">
        <x:v>analysis_and_test</x:v>
      </x:c>
      <x:c r="D30" s="29" t="str">
        <x:v>interface review and malformed request test</x:v>
      </x:c>
      <x:c r="E30" s="29" t="str">
        <x:v>software</x:v>
      </x:c>
      <x:c r="F30" s="29" t="str">
        <x:v>planned</x:v>
      </x:c>
    </x:row>
    <x:row r="31">
      <x:c r="A31" s="29" t="str">
        <x:v>R030</x:v>
      </x:c>
      <x:c r="B31" s="29" t="str">
        <x:v>Configuration traceability</x:v>
      </x:c>
      <x:c r="C31" s="29" t="str">
        <x:v>test</x:v>
      </x:c>
      <x:c r="D31" s="29" t="str">
        <x:v>log contains software limits CAD and wiring hashes</x:v>
      </x:c>
      <x:c r="E31" s="29" t="str">
        <x:v>integration</x:v>
      </x:c>
      <x:c r="F31" s="29" t="str">
        <x:v>planned</x:v>
      </x:c>
    </x:row>
    <x:row r="32">
      <x:c r="A32" s="29" t="str">
        <x:v>R031</x:v>
      </x:c>
      <x:c r="B32" s="29" t="str">
        <x:v>Maintenance zero-energy verification</x:v>
      </x:c>
      <x:c r="C32" s="29" t="str">
        <x:v>test</x:v>
      </x:c>
      <x:c r="D32" s="29" t="str">
        <x:v>lockout audit</x:v>
      </x:c>
      <x:c r="E32" s="29" t="str">
        <x:v>maintenance</x:v>
      </x:c>
      <x:c r="F32" s="29" t="str">
        <x:v>planned</x:v>
      </x:c>
    </x:row>
    <x:row r="33">
      <x:c r="A33" s="29" t="str">
        <x:v>R032</x:v>
      </x:c>
      <x:c r="B33" s="29" t="str">
        <x:v>Public operation prohibited</x:v>
      </x:c>
      <x:c r="C33" s="29" t="str">
        <x:v>inspection</x:v>
      </x:c>
      <x:c r="D33" s="29" t="str">
        <x:v>operating procedure and signage</x:v>
      </x:c>
      <x:c r="E33" s="29" t="str">
        <x:v>operations</x:v>
      </x:c>
      <x:c r="F33" s="29" t="str">
        <x:v>planned</x:v>
      </x:c>
    </x:row>
  </x:sheetData>
  <x:conditionalFormatting sqref="F2:F200">
    <x:cfRule type="containsText" dxfId="4" priority="1" operator="containsText" text="passed"/>
    <x:cfRule type="containsText" dxfId="5" priority="2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35" hidden="0" customWidth="1"/>
    <x:col min="4" max="4" width="16" hidden="0" customWidth="1"/>
    <x:col min="5" max="5" width="16" hidden="0" customWidth="1"/>
  </x:cols>
  <x:sheetData>
    <x:row r="1">
      <x:c r="A1" s="27" t="str">
        <x:v>Gate</x:v>
      </x:c>
      <x:c r="B1" s="27" t="str">
        <x:v>Evidence required</x:v>
      </x:c>
      <x:c r="C1" s="27" t="str">
        <x:v>Decision unlocked</x:v>
      </x:c>
      <x:c r="D1" s="27" t="str">
        <x:v>Status</x:v>
      </x:c>
      <x:c r="E1" s="27" t="str">
        <x:v>Owner</x:v>
      </x:c>
    </x:row>
    <x:row r="2">
      <x:c r="A2" s="29" t="str">
        <x:v>G1</x:v>
      </x:c>
      <x:c r="B2" s="29" t="str">
        <x:v>Plywood/kerf/fit coupon</x:v>
      </x:c>
      <x:c r="C2" s="29" t="str">
        <x:v>Release corrected J1 cutting files</x:v>
      </x:c>
      <x:c r="D2" s="29" t="str">
        <x:v>OPEN</x:v>
      </x:c>
      <x:c r="E2" s="29" t="str">
        <x:v>Structures</x:v>
      </x:c>
    </x:row>
    <x:row r="3">
      <x:c r="A3" s="29" t="str">
        <x:v>G2</x:v>
      </x:c>
      <x:c r="B3" s="29" t="str">
        <x:v>Five termination specimens per method</x:v>
      </x:c>
      <x:c r="C3" s="29" t="str">
        <x:v>Select tendon termination and derating</x:v>
      </x:c>
      <x:c r="D3" s="29" t="str">
        <x:v>OPEN</x:v>
      </x:c>
      <x:c r="E3" s="29" t="str">
        <x:v>Transmission</x:v>
      </x:c>
    </x:row>
    <x:row r="4">
      <x:c r="A4" s="29" t="str">
        <x:v>G3</x:v>
      </x:c>
      <x:c r="B4" s="29" t="str">
        <x:v>J1 proof, thermal and 10k cycles</x:v>
      </x:c>
      <x:c r="C4" s="29" t="str">
        <x:v>Retain/reject M-class architecture</x:v>
      </x:c>
      <x:c r="D4" s="29" t="str">
        <x:v>OPEN</x:v>
      </x:c>
      <x:c r="E4" s="29" t="str">
        <x:v>Mechanical</x:v>
      </x:c>
    </x:row>
    <x:row r="5">
      <x:c r="A5" s="29" t="str">
        <x:v>G4</x:v>
      </x:c>
      <x:c r="B5" s="29" t="str">
        <x:v>Actuator torque-speed-efficiency map</x:v>
      </x:c>
      <x:c r="C5" s="29" t="str">
        <x:v>Freeze M actuator/reduction</x:v>
      </x:c>
      <x:c r="D5" s="29" t="str">
        <x:v>OPEN</x:v>
      </x:c>
      <x:c r="E5" s="29" t="str">
        <x:v>Actuation</x:v>
      </x:c>
    </x:row>
    <x:row r="6">
      <x:c r="A6" s="29" t="str">
        <x:v>G5</x:v>
      </x:c>
      <x:c r="B6" s="29" t="str">
        <x:v>J2 H-class proof and endurance</x:v>
      </x:c>
      <x:c r="C6" s="29" t="str">
        <x:v>Freeze load-bearing leg architecture</x:v>
      </x:c>
      <x:c r="D6" s="29" t="str">
        <x:v>OPEN</x:v>
      </x:c>
      <x:c r="E6" s="29" t="str">
        <x:v>Mechanical</x:v>
      </x:c>
    </x:row>
    <x:row r="7">
      <x:c r="A7" s="29" t="str">
        <x:v>G6</x:v>
      </x:c>
      <x:c r="B7" s="29" t="str">
        <x:v>Foot/ankle force and slip tests</x:v>
      </x:c>
      <x:c r="C7" s="29" t="str">
        <x:v>Freeze foot and force-sensor layout</x:v>
      </x:c>
      <x:c r="D7" s="29" t="str">
        <x:v>OPEN</x:v>
      </x:c>
      <x:c r="E7" s="29" t="str">
        <x:v>Mobility</x:v>
      </x:c>
    </x:row>
    <x:row r="8">
      <x:c r="A8" s="29" t="str">
        <x:v>G7</x:v>
      </x:c>
      <x:c r="B8" s="29" t="str">
        <x:v>Object/rung retention on power loss</x:v>
      </x:c>
      <x:c r="C8" s="29" t="str">
        <x:v>Freeze hand and hook</x:v>
      </x:c>
      <x:c r="D8" s="29" t="str">
        <x:v>OPEN</x:v>
      </x:c>
      <x:c r="E8" s="29" t="str">
        <x:v>Manipulation</x:v>
      </x:c>
    </x:row>
    <x:row r="9">
      <x:c r="A9" s="29" t="str">
        <x:v>G8</x:v>
      </x:c>
      <x:c r="B9" s="29" t="str">
        <x:v>Battery/power bench tests</x:v>
      </x:c>
      <x:c r="C9" s="29" t="str">
        <x:v>Freeze battery and distribution</x:v>
      </x:c>
      <x:c r="D9" s="29" t="str">
        <x:v>OPEN</x:v>
      </x:c>
      <x:c r="E9" s="29" t="str">
        <x:v>Electrical</x:v>
      </x:c>
    </x:row>
    <x:row r="10">
      <x:c r="A10" s="29" t="str">
        <x:v>G9</x:v>
      </x:c>
      <x:c r="B10" s="29" t="str">
        <x:v>Suspended squat/step fault tests</x:v>
      </x:c>
      <x:c r="C10" s="29" t="str">
        <x:v>Authorize guarded stepping campaign</x:v>
      </x:c>
      <x:c r="D10" s="29" t="str">
        <x:v>OPEN</x:v>
      </x:c>
      <x:c r="E10" s="29" t="str">
        <x:v>Controls</x:v>
      </x:c>
    </x:row>
    <x:row r="11">
      <x:c r="A11" s="29" t="str">
        <x:v>G10</x:v>
      </x:c>
      <x:c r="B11" s="29" t="str">
        <x:v>Repeatable stair tests</x:v>
      </x:c>
      <x:c r="C11" s="29" t="str">
        <x:v>Authorize ladder fixture progression</x:v>
      </x:c>
      <x:c r="D11" s="29" t="str">
        <x:v>OPEN</x:v>
      </x:c>
      <x:c r="E11" s="29" t="str">
        <x:v>Mobility</x:v>
      </x:c>
    </x:row>
    <x:row r="12">
      <x:c r="A12" s="29" t="str">
        <x:v>G11</x:v>
      </x:c>
      <x:c r="B12" s="29" t="str">
        <x:v>Ladder contact/power-loss tests</x:v>
      </x:c>
      <x:c r="C12" s="29" t="str">
        <x:v>Decide whether ladder stays in scope</x:v>
      </x:c>
      <x:c r="D12" s="29" t="str">
        <x:v>OPEN</x:v>
      </x:c>
      <x:c r="E12" s="29" t="str">
        <x:v>Safety</x:v>
      </x:c>
    </x:row>
  </x:sheetData>
  <x:conditionalFormatting sqref="D2:D12">
    <x:cfRule type="containsText" dxfId="6" priority="1" operator="containsText" text="OPEN"/>
  </x:conditionalFormatting>
  <x:pageMargins left="0.7" right="0.7" top="0.75" bottom="0.75" header="0.3" footer="0.3"/>
</x:worksheet>
</file>